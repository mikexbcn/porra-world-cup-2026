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1787297c5aedf/Desktop/WEB/"/>
    </mc:Choice>
  </mc:AlternateContent>
  <xr:revisionPtr revIDLastSave="48" documentId="8_{33CEAB18-E1DA-4B69-994B-99C650157BC5}" xr6:coauthVersionLast="47" xr6:coauthVersionMax="47" xr10:uidLastSave="{E6F8C976-10B4-4E14-A7A6-4C09993EA006}"/>
  <bookViews>
    <workbookView xWindow="-120" yWindow="-120" windowWidth="29040" windowHeight="15720" activeTab="1" xr2:uid="{D8AB5587-6A74-449E-AE91-84CC58E41226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<sst xmlns="http://schemas.openxmlformats.org/spreadsheetml/2006/main" count="107" uniqueCount="46">
  <si>
    <t>username</t>
  </si>
  <si>
    <t>best_player</t>
  </si>
  <si>
    <t>top_scorer</t>
  </si>
  <si>
    <t>best_keeper</t>
  </si>
  <si>
    <t>best_young</t>
  </si>
  <si>
    <t>fair_play</t>
  </si>
  <si>
    <t>Puntuación TOTAL</t>
  </si>
  <si>
    <t>AESCOBARA</t>
  </si>
  <si>
    <t>Kylian Mbappé (FRANCE)</t>
  </si>
  <si>
    <t>Harry Kane (ENGLAND)</t>
  </si>
  <si>
    <t>Mike Maignan (FRANCE)</t>
  </si>
  <si>
    <t>Lamine Yamal (SPAIN)</t>
  </si>
  <si>
    <t>JAPAN</t>
  </si>
  <si>
    <t>DAMI</t>
  </si>
  <si>
    <t>Michael Olise (FRANCE)</t>
  </si>
  <si>
    <t>KYLIAN MBAPPÉ (FRANCE)</t>
  </si>
  <si>
    <t>Yassine Bounou (MOROCCO)</t>
  </si>
  <si>
    <t>LAMINE YAMAL (SPAIN)</t>
  </si>
  <si>
    <t>USA</t>
  </si>
  <si>
    <t>DAVID</t>
  </si>
  <si>
    <t>Emiliano Martínez (ARGENTINA)</t>
  </si>
  <si>
    <t>F3ROMONAS</t>
  </si>
  <si>
    <t>Raphinha (BRAZIL)</t>
  </si>
  <si>
    <t>Unai Simón (SPAIN)</t>
  </si>
  <si>
    <t>SPAIN</t>
  </si>
  <si>
    <t>GUILLERMO</t>
  </si>
  <si>
    <t>Lionel Messi (ARGENTINA)</t>
  </si>
  <si>
    <t>GERMANY</t>
  </si>
  <si>
    <t>JMONSALV</t>
  </si>
  <si>
    <t>Thibaut Courtois (BELGIUM)</t>
  </si>
  <si>
    <t>JTORRESM</t>
  </si>
  <si>
    <t>CURAÇAO</t>
  </si>
  <si>
    <t>Mike</t>
  </si>
  <si>
    <t>Joan Garcia (SPAIN)</t>
  </si>
  <si>
    <t>SERGICM</t>
  </si>
  <si>
    <t>DIOGO COSTA (PORTUGAL)</t>
  </si>
  <si>
    <t>TIBURON ROCA</t>
  </si>
  <si>
    <t>HARRY KANE (ENGLAND)</t>
  </si>
  <si>
    <t>JORDAN PICKFORD (ENGLAND)</t>
  </si>
  <si>
    <t>SAUDI ARABIA</t>
  </si>
  <si>
    <t>CAMPEON</t>
  </si>
  <si>
    <t>SUBCAMPEON</t>
  </si>
  <si>
    <t>TERCERO</t>
  </si>
  <si>
    <t>CUARTO</t>
  </si>
  <si>
    <t>ARGENTINA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</si>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</sst>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2a1787297c5aedf/Desktop/WEB/Mundial_2026_DB_ROUNDS_FINALES.xlsx" TargetMode="External"/><Relationship Id="rId1" Type="http://schemas.openxmlformats.org/officeDocument/2006/relationships/externalLinkPath" Target="Mundial_2026_DB_ROUNDS_FI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IFICACIÓN"/>
      <sheetName val="Puntuación_final"/>
      <sheetName val="Clasificación_de_grupos"/>
      <sheetName val="Pronósticos_de_partidos"/>
      <sheetName val="Pronósticos_extra"/>
      <sheetName val="De_16_hasta_el_pódium"/>
      <sheetName val="OFICIAL"/>
      <sheetName val="Aciertos"/>
      <sheetName val="Pronosticos_ROUND32"/>
      <sheetName val="ROUND32_Partidos"/>
      <sheetName val="Pronosticos_ROUND16"/>
      <sheetName val="ROUND16_Partidos"/>
      <sheetName val="Pronosticos_Quarter_FINAL"/>
      <sheetName val="Quarter_FINAL_Partidos"/>
      <sheetName val="Pronosticos_Semi_FINAL"/>
      <sheetName val="Semi_FINAL_Partidos"/>
      <sheetName val="Pronosticos_FINALES"/>
      <sheetName val="FINAL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7F9F-8ABC-4246-B30A-DFCC10097A56}">
  <dimension ref="A1:G11"/>
  <sheetViews>
    <sheetView workbookViewId="0">
      <selection activeCell="B8" sqref="B8:F8"/>
    </sheetView>
  </sheetViews>
  <sheetFormatPr baseColWidth="10" defaultRowHeight="15" x14ac:dyDescent="0.25"/>
  <cols>
    <col min="1" max="1" width="19.7109375" customWidth="1"/>
    <col min="2" max="2" width="29.7109375" customWidth="1"/>
    <col min="3" max="3" width="25.140625" customWidth="1"/>
    <col min="4" max="4" width="32.85546875" customWidth="1"/>
    <col min="5" max="5" width="22.42578125" customWidth="1"/>
    <col min="6" max="6" width="1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 cm="1">
        <f t="array" ref="G2">SUMPRODUCT(--(B2:F2=[1]OFICIAL!K2:K2)) * 10</f>
        <v>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3" cm="1">
        <f t="array" ref="G3">SUMPRODUCT(--(B3:F3=[1]OFICIAL!K2:K2)) * 10</f>
        <v>0</v>
      </c>
    </row>
    <row r="4" spans="1:7" x14ac:dyDescent="0.25">
      <c r="A4" t="s">
        <v>19</v>
      </c>
      <c r="B4" t="s">
        <v>11</v>
      </c>
      <c r="C4" t="s">
        <v>8</v>
      </c>
      <c r="D4" t="s">
        <v>20</v>
      </c>
      <c r="E4" t="s">
        <v>11</v>
      </c>
      <c r="F4" t="s">
        <v>12</v>
      </c>
      <c r="G4" s="3" cm="1">
        <f t="array" ref="G4">SUMPRODUCT(--(B4:F4=[1]OFICIAL!K2:K2)) * 10</f>
        <v>0</v>
      </c>
    </row>
    <row r="5" spans="1:7" x14ac:dyDescent="0.25">
      <c r="A5" t="s">
        <v>21</v>
      </c>
      <c r="B5" t="s">
        <v>11</v>
      </c>
      <c r="C5" t="s">
        <v>22</v>
      </c>
      <c r="D5" t="s">
        <v>23</v>
      </c>
      <c r="E5" t="s">
        <v>11</v>
      </c>
      <c r="F5" t="s">
        <v>24</v>
      </c>
      <c r="G5" s="3" cm="1">
        <f t="array" ref="G5">SUMPRODUCT(--(B5:F5=[1]OFICIAL!K2:K2)) * 10</f>
        <v>0</v>
      </c>
    </row>
    <row r="6" spans="1:7" x14ac:dyDescent="0.25">
      <c r="A6" t="s">
        <v>25</v>
      </c>
      <c r="B6" t="s">
        <v>26</v>
      </c>
      <c r="C6" t="s">
        <v>8</v>
      </c>
      <c r="D6" t="s">
        <v>20</v>
      </c>
      <c r="E6" t="s">
        <v>11</v>
      </c>
      <c r="F6" t="s">
        <v>27</v>
      </c>
      <c r="G6" s="3" cm="1">
        <f t="array" ref="G6">SUMPRODUCT(--(B6:F6=[1]OFICIAL!K2:K2)) * 10</f>
        <v>0</v>
      </c>
    </row>
    <row r="7" spans="1:7" x14ac:dyDescent="0.25">
      <c r="A7" t="s">
        <v>28</v>
      </c>
      <c r="B7" t="s">
        <v>11</v>
      </c>
      <c r="C7" t="s">
        <v>8</v>
      </c>
      <c r="D7" t="s">
        <v>29</v>
      </c>
      <c r="E7" t="s">
        <v>11</v>
      </c>
      <c r="F7" t="s">
        <v>24</v>
      </c>
      <c r="G7" s="3" cm="1">
        <f t="array" ref="G7">SUMPRODUCT(--(B7:F7=[1]OFICIAL!K2:K2)) * 10</f>
        <v>0</v>
      </c>
    </row>
    <row r="8" spans="1:7" x14ac:dyDescent="0.25">
      <c r="A8" t="s">
        <v>30</v>
      </c>
      <c r="B8" t="s">
        <v>8</v>
      </c>
      <c r="C8" t="s">
        <v>9</v>
      </c>
      <c r="D8" t="s">
        <v>23</v>
      </c>
      <c r="E8" t="s">
        <v>11</v>
      </c>
      <c r="F8" t="s">
        <v>31</v>
      </c>
      <c r="G8" s="3" cm="1">
        <f t="array" ref="G8">SUMPRODUCT(--(B8:F8=[1]OFICIAL!K2:K2)) * 10</f>
        <v>0</v>
      </c>
    </row>
    <row r="9" spans="1:7" x14ac:dyDescent="0.25">
      <c r="A9" t="s">
        <v>32</v>
      </c>
      <c r="B9" t="s">
        <v>22</v>
      </c>
      <c r="C9" t="s">
        <v>8</v>
      </c>
      <c r="D9" t="s">
        <v>33</v>
      </c>
      <c r="E9" t="s">
        <v>11</v>
      </c>
      <c r="F9" t="s">
        <v>24</v>
      </c>
      <c r="G9" s="3" cm="1">
        <f t="array" ref="G9">SUMPRODUCT(--(B9:F9=[1]OFICIAL!K2:K2)) * 10</f>
        <v>0</v>
      </c>
    </row>
    <row r="10" spans="1:7" x14ac:dyDescent="0.25">
      <c r="A10" t="s">
        <v>34</v>
      </c>
      <c r="B10" t="s">
        <v>17</v>
      </c>
      <c r="C10" t="s">
        <v>15</v>
      </c>
      <c r="D10" t="s">
        <v>35</v>
      </c>
      <c r="E10" t="s">
        <v>17</v>
      </c>
      <c r="F10" t="s">
        <v>18</v>
      </c>
      <c r="G10" s="3" cm="1">
        <f t="array" ref="G10">SUMPRODUCT(--(B10:F10=[1]OFICIAL!K2:K2)) * 10</f>
        <v>0</v>
      </c>
    </row>
    <row r="11" spans="1:7" x14ac:dyDescent="0.25">
      <c r="A11" t="s">
        <v>36</v>
      </c>
      <c r="B11" t="s">
        <v>17</v>
      </c>
      <c r="C11" t="s">
        <v>37</v>
      </c>
      <c r="D11" t="s">
        <v>38</v>
      </c>
      <c r="E11" t="s">
        <v>17</v>
      </c>
      <c r="F11" t="s">
        <v>39</v>
      </c>
      <c r="G11" s="3" cm="1">
        <f t="array" ref="G11">SUMPRODUCT(--(B11:F11=[1]OFICIAL!K2:K2)) * 10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F8F5-550A-4B45-8933-BD2E39A8B7C2}">
  <dimension ref="B1:J11"/>
  <sheetViews>
    <sheetView tabSelected="1" workbookViewId="0">
      <selection activeCell="I7" sqref="I7"/>
    </sheetView>
  </sheetViews>
  <sheetFormatPr baseColWidth="10" defaultRowHeight="15" x14ac:dyDescent="0.25"/>
  <cols>
    <col min="2" max="2" width="24.42578125" customWidth="1"/>
    <col min="3" max="3" width="39.42578125" customWidth="1"/>
    <col min="4" max="4" width="29.28515625" customWidth="1"/>
    <col min="5" max="5" width="20.42578125" customWidth="1"/>
    <col min="6" max="6" width="13.140625" customWidth="1"/>
    <col min="7" max="10" width="15.7109375" customWidth="1"/>
  </cols>
  <sheetData>
    <row r="1" spans="2:10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4" t="s">
        <v>41</v>
      </c>
      <c r="I1" s="4" t="s">
        <v>42</v>
      </c>
      <c r="J1" s="4" t="s">
        <v>43</v>
      </c>
    </row>
    <row r="2" spans="2:10" x14ac:dyDescent="0.2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24</v>
      </c>
    </row>
    <row r="3" spans="2:10" x14ac:dyDescent="0.25">
      <c r="B3" t="s">
        <v>14</v>
      </c>
      <c r="C3" t="s">
        <v>8</v>
      </c>
      <c r="D3" t="s">
        <v>16</v>
      </c>
      <c r="F3" t="s">
        <v>18</v>
      </c>
    </row>
    <row r="4" spans="2:10" x14ac:dyDescent="0.25">
      <c r="B4" t="s">
        <v>11</v>
      </c>
      <c r="C4" t="s">
        <v>22</v>
      </c>
      <c r="D4" t="s">
        <v>20</v>
      </c>
      <c r="F4" t="s">
        <v>24</v>
      </c>
      <c r="G4" t="s">
        <v>24</v>
      </c>
    </row>
    <row r="5" spans="2:10" x14ac:dyDescent="0.25">
      <c r="B5" t="s">
        <v>26</v>
      </c>
      <c r="D5" t="s">
        <v>23</v>
      </c>
      <c r="F5" t="s">
        <v>27</v>
      </c>
      <c r="G5" t="s">
        <v>24</v>
      </c>
    </row>
    <row r="6" spans="2:10" x14ac:dyDescent="0.25">
      <c r="D6" t="s">
        <v>29</v>
      </c>
      <c r="F6" t="s">
        <v>31</v>
      </c>
      <c r="G6" t="s">
        <v>44</v>
      </c>
    </row>
    <row r="7" spans="2:10" x14ac:dyDescent="0.25">
      <c r="D7" t="s">
        <v>33</v>
      </c>
      <c r="F7" t="s">
        <v>39</v>
      </c>
      <c r="G7" t="s">
        <v>24</v>
      </c>
      <c r="I7" t="s">
        <v>45</v>
      </c>
    </row>
    <row r="8" spans="2:10" x14ac:dyDescent="0.25">
      <c r="D8" t="s">
        <v>35</v>
      </c>
    </row>
    <row r="9" spans="2:10" x14ac:dyDescent="0.25">
      <c r="D9" t="s">
        <v>38</v>
      </c>
      <c r="G9" t="s">
        <v>24</v>
      </c>
    </row>
    <row r="10" spans="2:10" x14ac:dyDescent="0.25">
      <c r="G10" t="s">
        <v>24</v>
      </c>
    </row>
    <row r="11" spans="2:10" x14ac:dyDescent="0.25"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.</dc:creator>
  <cp:lastModifiedBy>Mike .</cp:lastModifiedBy>
  <dcterms:created xsi:type="dcterms:W3CDTF">2026-07-12T09:26:20Z</dcterms:created>
  <dcterms:modified xsi:type="dcterms:W3CDTF">2026-07-19T07:05:22Z</dcterms:modified>
</cp:coreProperties>
</file>