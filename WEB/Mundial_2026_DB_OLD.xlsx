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2a1787297c5aedf/Desktop/WEB/"/>
    </mc:Choice>
  </mc:AlternateContent>
  <xr:revisionPtr revIDLastSave="1360" documentId="13_ncr:1_{3D507AE2-4FA9-49FF-9375-9CEDE39F7517}" xr6:coauthVersionLast="47" xr6:coauthVersionMax="47" xr10:uidLastSave="{51E23D19-FF25-4D59-811F-AE0A693834AA}"/>
  <bookViews>
    <workbookView xWindow="57480" yWindow="-120" windowWidth="29040" windowHeight="15720" xr2:uid="{00000000-000D-0000-FFFF-FFFF00000000}"/>
  </bookViews>
  <sheets>
    <sheet name="CLASIFICACIÓN" sheetId="15" r:id="rId1"/>
    <sheet name="Puntuación_final" sheetId="4" r:id="rId2"/>
    <sheet name="Clasificación_de_grupos" sheetId="6" r:id="rId3"/>
    <sheet name="Pronósticos_de_partidos" sheetId="13" r:id="rId4"/>
    <sheet name="Pronósticos_extra" sheetId="3" r:id="rId5"/>
    <sheet name="De_16_hasta_el_pódium" sheetId="5" r:id="rId6"/>
    <sheet name="OFICIAL" sheetId="10" r:id="rId7"/>
    <sheet name="Aciertos" sheetId="12" r:id="rId8"/>
    <sheet name="Hoja2" sheetId="17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4" l="1" a="1"/>
  <c r="F2" i="4" s="1"/>
  <c r="E379" i="5"/>
  <c r="E377" i="5"/>
  <c r="E341" i="5"/>
  <c r="E339" i="5"/>
  <c r="E303" i="5"/>
  <c r="E301" i="5"/>
  <c r="E265" i="5"/>
  <c r="E263" i="5"/>
  <c r="E227" i="5"/>
  <c r="E225" i="5"/>
  <c r="E189" i="5"/>
  <c r="E187" i="5"/>
  <c r="E151" i="5"/>
  <c r="E149" i="5"/>
  <c r="E113" i="5"/>
  <c r="E111" i="5"/>
  <c r="E75" i="5"/>
  <c r="E73" i="5"/>
  <c r="E37" i="5"/>
  <c r="E35" i="5"/>
  <c r="E376" i="5"/>
  <c r="E375" i="5"/>
  <c r="E338" i="5"/>
  <c r="E337" i="5"/>
  <c r="E300" i="5"/>
  <c r="E299" i="5"/>
  <c r="E262" i="5"/>
  <c r="E261" i="5"/>
  <c r="E224" i="5"/>
  <c r="E223" i="5"/>
  <c r="E186" i="5"/>
  <c r="E185" i="5"/>
  <c r="E148" i="5"/>
  <c r="E147" i="5"/>
  <c r="E110" i="5"/>
  <c r="E109" i="5"/>
  <c r="E72" i="5"/>
  <c r="E71" i="5"/>
  <c r="E34" i="5"/>
  <c r="E33" i="5"/>
  <c r="E30" i="5"/>
  <c r="E372" i="5"/>
  <c r="E371" i="5"/>
  <c r="E370" i="5"/>
  <c r="E369" i="5"/>
  <c r="E334" i="5"/>
  <c r="E333" i="5"/>
  <c r="E332" i="5"/>
  <c r="E331" i="5"/>
  <c r="E296" i="5"/>
  <c r="E295" i="5"/>
  <c r="E294" i="5"/>
  <c r="E293" i="5"/>
  <c r="E258" i="5"/>
  <c r="E257" i="5"/>
  <c r="E256" i="5"/>
  <c r="E255" i="5"/>
  <c r="E220" i="5"/>
  <c r="E219" i="5"/>
  <c r="E218" i="5"/>
  <c r="E217" i="5"/>
  <c r="E182" i="5"/>
  <c r="E181" i="5"/>
  <c r="E180" i="5"/>
  <c r="E179" i="5"/>
  <c r="E144" i="5"/>
  <c r="E143" i="5"/>
  <c r="E142" i="5"/>
  <c r="E141" i="5"/>
  <c r="E103" i="5"/>
  <c r="E106" i="5"/>
  <c r="E105" i="5"/>
  <c r="E104" i="5"/>
  <c r="E66" i="5"/>
  <c r="E67" i="5"/>
  <c r="E68" i="5"/>
  <c r="E65" i="5"/>
  <c r="E27" i="5"/>
  <c r="E58" i="5"/>
  <c r="E59" i="5"/>
  <c r="E60" i="5"/>
  <c r="E61" i="5"/>
  <c r="E62" i="5"/>
  <c r="E63" i="5"/>
  <c r="E64" i="5"/>
  <c r="E57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41" i="5"/>
  <c r="E28" i="5"/>
  <c r="E29" i="5"/>
  <c r="E20" i="5"/>
  <c r="E21" i="5"/>
  <c r="E22" i="5"/>
  <c r="E23" i="5"/>
  <c r="E24" i="5"/>
  <c r="E25" i="5"/>
  <c r="E26" i="5"/>
  <c r="E19" i="5"/>
  <c r="E4" i="5"/>
  <c r="E3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362" i="5"/>
  <c r="E363" i="5"/>
  <c r="E364" i="5"/>
  <c r="E365" i="5"/>
  <c r="E366" i="5"/>
  <c r="E367" i="5"/>
  <c r="E368" i="5"/>
  <c r="E361" i="5"/>
  <c r="E323" i="5"/>
  <c r="E324" i="5"/>
  <c r="E325" i="5"/>
  <c r="E326" i="5"/>
  <c r="E327" i="5"/>
  <c r="E328" i="5"/>
  <c r="E329" i="5"/>
  <c r="E330" i="5"/>
  <c r="E285" i="5"/>
  <c r="E286" i="5"/>
  <c r="E287" i="5"/>
  <c r="E288" i="5"/>
  <c r="E289" i="5"/>
  <c r="E290" i="5"/>
  <c r="E291" i="5"/>
  <c r="E292" i="5"/>
  <c r="E247" i="5"/>
  <c r="E248" i="5"/>
  <c r="E249" i="5"/>
  <c r="E250" i="5"/>
  <c r="E251" i="5"/>
  <c r="E252" i="5"/>
  <c r="E253" i="5"/>
  <c r="E254" i="5"/>
  <c r="E209" i="5"/>
  <c r="E210" i="5"/>
  <c r="E211" i="5"/>
  <c r="E212" i="5"/>
  <c r="E213" i="5"/>
  <c r="E214" i="5"/>
  <c r="E215" i="5"/>
  <c r="E216" i="5"/>
  <c r="E171" i="5"/>
  <c r="E172" i="5"/>
  <c r="E173" i="5"/>
  <c r="E174" i="5"/>
  <c r="E175" i="5"/>
  <c r="E176" i="5"/>
  <c r="E177" i="5"/>
  <c r="E178" i="5"/>
  <c r="E133" i="5"/>
  <c r="E134" i="5"/>
  <c r="E135" i="5"/>
  <c r="E136" i="5"/>
  <c r="E137" i="5"/>
  <c r="E138" i="5"/>
  <c r="E139" i="5"/>
  <c r="E140" i="5"/>
  <c r="E95" i="5"/>
  <c r="E96" i="5"/>
  <c r="E97" i="5"/>
  <c r="E98" i="5"/>
  <c r="E99" i="5"/>
  <c r="E100" i="5"/>
  <c r="E101" i="5"/>
  <c r="E102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45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J1" i="5"/>
  <c r="I3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09" i="6"/>
  <c r="I306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275" i="6"/>
  <c r="I272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41" i="6"/>
  <c r="I238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07" i="6"/>
  <c r="I204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173" i="6"/>
  <c r="I170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39" i="6"/>
  <c r="I136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05" i="6"/>
  <c r="I102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71" i="6"/>
  <c r="I68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37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G11" i="3" a="1"/>
  <c r="G11" i="3" s="1"/>
  <c r="G10" i="3" a="1"/>
  <c r="G10" i="3" s="1"/>
  <c r="G9" i="3" a="1"/>
  <c r="G9" i="3" s="1"/>
  <c r="G8" i="3" a="1"/>
  <c r="G8" i="3" s="1"/>
  <c r="G7" i="3" a="1"/>
  <c r="G7" i="3" s="1"/>
  <c r="G6" i="3" a="1"/>
  <c r="G6" i="3" s="1"/>
  <c r="G5" i="3" a="1"/>
  <c r="G5" i="3" s="1"/>
  <c r="G4" i="3" a="1"/>
  <c r="G4" i="3" s="1"/>
  <c r="G3" i="3" a="1"/>
  <c r="G3" i="3" s="1"/>
  <c r="G2" i="3" a="1"/>
  <c r="G2" i="3" s="1"/>
  <c r="K670" i="13"/>
  <c r="K671" i="13"/>
  <c r="K672" i="13"/>
  <c r="K673" i="13"/>
  <c r="K674" i="13"/>
  <c r="K675" i="13"/>
  <c r="K676" i="13"/>
  <c r="K677" i="13"/>
  <c r="K678" i="13"/>
  <c r="K679" i="13"/>
  <c r="K680" i="13"/>
  <c r="K681" i="13"/>
  <c r="K682" i="13"/>
  <c r="K683" i="13"/>
  <c r="K684" i="13"/>
  <c r="K685" i="13"/>
  <c r="K686" i="13"/>
  <c r="K687" i="13"/>
  <c r="K688" i="13"/>
  <c r="K689" i="13"/>
  <c r="K690" i="13"/>
  <c r="K691" i="13"/>
  <c r="K692" i="13"/>
  <c r="K693" i="13"/>
  <c r="K694" i="13"/>
  <c r="K695" i="13"/>
  <c r="K696" i="13"/>
  <c r="K697" i="13"/>
  <c r="K698" i="13"/>
  <c r="K699" i="13"/>
  <c r="K700" i="13"/>
  <c r="K701" i="13"/>
  <c r="K702" i="13"/>
  <c r="K703" i="13"/>
  <c r="K704" i="13"/>
  <c r="K705" i="13"/>
  <c r="K706" i="13"/>
  <c r="K707" i="13"/>
  <c r="K708" i="13"/>
  <c r="K709" i="13"/>
  <c r="K710" i="13"/>
  <c r="K711" i="13"/>
  <c r="K712" i="13"/>
  <c r="K713" i="13"/>
  <c r="K714" i="13"/>
  <c r="K715" i="13"/>
  <c r="K716" i="13"/>
  <c r="K717" i="13"/>
  <c r="K718" i="13"/>
  <c r="K719" i="13"/>
  <c r="K720" i="13"/>
  <c r="K721" i="13"/>
  <c r="K722" i="13"/>
  <c r="K723" i="13"/>
  <c r="K724" i="13"/>
  <c r="K725" i="13"/>
  <c r="K726" i="13"/>
  <c r="K727" i="13"/>
  <c r="K728" i="13"/>
  <c r="K729" i="13"/>
  <c r="K730" i="13"/>
  <c r="K731" i="13"/>
  <c r="K732" i="13"/>
  <c r="K733" i="13"/>
  <c r="K734" i="13"/>
  <c r="K735" i="13"/>
  <c r="K736" i="13"/>
  <c r="K737" i="13"/>
  <c r="K738" i="13"/>
  <c r="K739" i="13"/>
  <c r="K740" i="13"/>
  <c r="K669" i="13"/>
  <c r="K666" i="13"/>
  <c r="K596" i="13"/>
  <c r="K597" i="13"/>
  <c r="K598" i="13"/>
  <c r="K599" i="13"/>
  <c r="K600" i="13"/>
  <c r="K601" i="13"/>
  <c r="K602" i="13"/>
  <c r="K603" i="13"/>
  <c r="K604" i="13"/>
  <c r="K605" i="13"/>
  <c r="K606" i="13"/>
  <c r="K607" i="13"/>
  <c r="K608" i="13"/>
  <c r="K609" i="13"/>
  <c r="K610" i="13"/>
  <c r="K611" i="13"/>
  <c r="K612" i="13"/>
  <c r="K613" i="13"/>
  <c r="K614" i="13"/>
  <c r="K615" i="13"/>
  <c r="K616" i="13"/>
  <c r="K617" i="13"/>
  <c r="K618" i="13"/>
  <c r="K619" i="13"/>
  <c r="K620" i="13"/>
  <c r="K621" i="13"/>
  <c r="K622" i="13"/>
  <c r="K623" i="13"/>
  <c r="K624" i="13"/>
  <c r="K625" i="13"/>
  <c r="K626" i="13"/>
  <c r="K627" i="13"/>
  <c r="K628" i="13"/>
  <c r="K629" i="13"/>
  <c r="K630" i="13"/>
  <c r="K631" i="13"/>
  <c r="K632" i="13"/>
  <c r="K633" i="13"/>
  <c r="K634" i="13"/>
  <c r="K635" i="13"/>
  <c r="K636" i="13"/>
  <c r="K637" i="13"/>
  <c r="K638" i="13"/>
  <c r="K639" i="13"/>
  <c r="K640" i="13"/>
  <c r="K641" i="13"/>
  <c r="K642" i="13"/>
  <c r="K643" i="13"/>
  <c r="K644" i="13"/>
  <c r="K645" i="13"/>
  <c r="K646" i="13"/>
  <c r="K647" i="13"/>
  <c r="K648" i="13"/>
  <c r="K649" i="13"/>
  <c r="K650" i="13"/>
  <c r="K651" i="13"/>
  <c r="K652" i="13"/>
  <c r="K653" i="13"/>
  <c r="K654" i="13"/>
  <c r="K655" i="13"/>
  <c r="K656" i="13"/>
  <c r="K657" i="13"/>
  <c r="K658" i="13"/>
  <c r="K659" i="13"/>
  <c r="K660" i="13"/>
  <c r="K661" i="13"/>
  <c r="K662" i="13"/>
  <c r="K663" i="13"/>
  <c r="K664" i="13"/>
  <c r="K665" i="13"/>
  <c r="K595" i="13"/>
  <c r="K592" i="13"/>
  <c r="K584" i="13"/>
  <c r="K585" i="13"/>
  <c r="K586" i="13"/>
  <c r="K587" i="13"/>
  <c r="K588" i="13"/>
  <c r="K589" i="13"/>
  <c r="K590" i="13"/>
  <c r="K591" i="13"/>
  <c r="K555" i="13"/>
  <c r="K556" i="13"/>
  <c r="K557" i="13"/>
  <c r="K558" i="13"/>
  <c r="K559" i="13"/>
  <c r="K560" i="13"/>
  <c r="K561" i="13"/>
  <c r="K562" i="13"/>
  <c r="K563" i="13"/>
  <c r="K564" i="13"/>
  <c r="K565" i="13"/>
  <c r="K566" i="13"/>
  <c r="K567" i="13"/>
  <c r="K568" i="13"/>
  <c r="K569" i="13"/>
  <c r="K570" i="13"/>
  <c r="K571" i="13"/>
  <c r="K572" i="13"/>
  <c r="K573" i="13"/>
  <c r="K574" i="13"/>
  <c r="K575" i="13"/>
  <c r="K576" i="13"/>
  <c r="K577" i="13"/>
  <c r="K578" i="13"/>
  <c r="K579" i="13"/>
  <c r="K580" i="13"/>
  <c r="K581" i="13"/>
  <c r="K582" i="13"/>
  <c r="K583" i="13"/>
  <c r="K522" i="13"/>
  <c r="K523" i="13"/>
  <c r="K524" i="13"/>
  <c r="K525" i="13"/>
  <c r="K526" i="13"/>
  <c r="K527" i="13"/>
  <c r="K528" i="13"/>
  <c r="K529" i="13"/>
  <c r="K530" i="13"/>
  <c r="K531" i="13"/>
  <c r="K532" i="13"/>
  <c r="K533" i="13"/>
  <c r="K534" i="13"/>
  <c r="K535" i="13"/>
  <c r="K536" i="13"/>
  <c r="K537" i="13"/>
  <c r="K538" i="13"/>
  <c r="K539" i="13"/>
  <c r="K540" i="13"/>
  <c r="K541" i="13"/>
  <c r="K542" i="13"/>
  <c r="K543" i="13"/>
  <c r="K544" i="13"/>
  <c r="K545" i="13"/>
  <c r="K546" i="13"/>
  <c r="K547" i="13"/>
  <c r="K548" i="13"/>
  <c r="K549" i="13"/>
  <c r="K550" i="13"/>
  <c r="K551" i="13"/>
  <c r="K552" i="13"/>
  <c r="K553" i="13"/>
  <c r="K554" i="13"/>
  <c r="K521" i="13"/>
  <c r="K447" i="13"/>
  <c r="K448" i="13"/>
  <c r="K449" i="13"/>
  <c r="K450" i="13"/>
  <c r="K451" i="13"/>
  <c r="K452" i="13"/>
  <c r="K453" i="13"/>
  <c r="K454" i="13"/>
  <c r="K455" i="13"/>
  <c r="K456" i="13"/>
  <c r="K457" i="13"/>
  <c r="K458" i="13"/>
  <c r="K459" i="13"/>
  <c r="K460" i="13"/>
  <c r="K461" i="13"/>
  <c r="K462" i="13"/>
  <c r="K463" i="13"/>
  <c r="K464" i="13"/>
  <c r="K465" i="13"/>
  <c r="K466" i="13"/>
  <c r="K467" i="13"/>
  <c r="K468" i="13"/>
  <c r="K469" i="13"/>
  <c r="K470" i="13"/>
  <c r="K471" i="13"/>
  <c r="K472" i="13"/>
  <c r="K473" i="13"/>
  <c r="K474" i="13"/>
  <c r="K475" i="13"/>
  <c r="K476" i="13"/>
  <c r="K477" i="13"/>
  <c r="K478" i="13"/>
  <c r="K479" i="13"/>
  <c r="K480" i="13"/>
  <c r="K481" i="13"/>
  <c r="K482" i="13"/>
  <c r="K483" i="13"/>
  <c r="K484" i="13"/>
  <c r="K485" i="13"/>
  <c r="K486" i="13"/>
  <c r="K487" i="13"/>
  <c r="K488" i="13"/>
  <c r="K489" i="13"/>
  <c r="K490" i="13"/>
  <c r="K491" i="13"/>
  <c r="K492" i="13"/>
  <c r="K493" i="13"/>
  <c r="K494" i="13"/>
  <c r="K495" i="13"/>
  <c r="K496" i="13"/>
  <c r="K497" i="13"/>
  <c r="K498" i="13"/>
  <c r="K499" i="13"/>
  <c r="K500" i="13"/>
  <c r="K501" i="13"/>
  <c r="K502" i="13"/>
  <c r="K503" i="13"/>
  <c r="K504" i="13"/>
  <c r="K505" i="13"/>
  <c r="K506" i="13"/>
  <c r="K507" i="13"/>
  <c r="K508" i="13"/>
  <c r="K509" i="13"/>
  <c r="K510" i="13"/>
  <c r="K511" i="13"/>
  <c r="K512" i="13"/>
  <c r="K513" i="13"/>
  <c r="K514" i="13"/>
  <c r="K515" i="13"/>
  <c r="K516" i="13"/>
  <c r="K517" i="13"/>
  <c r="K518" i="13"/>
  <c r="K444" i="13"/>
  <c r="K374" i="13"/>
  <c r="K375" i="13"/>
  <c r="K376" i="13"/>
  <c r="K377" i="13"/>
  <c r="K378" i="13"/>
  <c r="K379" i="13"/>
  <c r="K380" i="13"/>
  <c r="K381" i="13"/>
  <c r="K382" i="13"/>
  <c r="K383" i="13"/>
  <c r="K384" i="13"/>
  <c r="K385" i="13"/>
  <c r="K386" i="13"/>
  <c r="K387" i="13"/>
  <c r="K388" i="13"/>
  <c r="K389" i="13"/>
  <c r="K390" i="13"/>
  <c r="K391" i="13"/>
  <c r="K392" i="13"/>
  <c r="K393" i="13"/>
  <c r="K394" i="13"/>
  <c r="K395" i="13"/>
  <c r="K396" i="13"/>
  <c r="K397" i="13"/>
  <c r="K398" i="13"/>
  <c r="K399" i="13"/>
  <c r="K400" i="13"/>
  <c r="K401" i="13"/>
  <c r="K402" i="13"/>
  <c r="K403" i="13"/>
  <c r="K404" i="13"/>
  <c r="K405" i="13"/>
  <c r="K406" i="13"/>
  <c r="K407" i="13"/>
  <c r="K408" i="13"/>
  <c r="K409" i="13"/>
  <c r="K410" i="13"/>
  <c r="K411" i="13"/>
  <c r="K412" i="13"/>
  <c r="K413" i="13"/>
  <c r="K414" i="13"/>
  <c r="K415" i="13"/>
  <c r="K416" i="13"/>
  <c r="K417" i="13"/>
  <c r="K418" i="13"/>
  <c r="K419" i="13"/>
  <c r="K420" i="13"/>
  <c r="K421" i="13"/>
  <c r="K422" i="13"/>
  <c r="K423" i="13"/>
  <c r="K424" i="13"/>
  <c r="K425" i="13"/>
  <c r="K426" i="13"/>
  <c r="K427" i="13"/>
  <c r="K428" i="13"/>
  <c r="K429" i="13"/>
  <c r="K430" i="13"/>
  <c r="K431" i="13"/>
  <c r="K432" i="13"/>
  <c r="K433" i="13"/>
  <c r="K434" i="13"/>
  <c r="K435" i="13"/>
  <c r="K436" i="13"/>
  <c r="K437" i="13"/>
  <c r="K438" i="13"/>
  <c r="K439" i="13"/>
  <c r="K440" i="13"/>
  <c r="K441" i="13"/>
  <c r="K442" i="13"/>
  <c r="K443" i="13"/>
  <c r="K373" i="13"/>
  <c r="K299" i="13"/>
  <c r="L299" i="13" s="1"/>
  <c r="C6" i="4" s="1"/>
  <c r="K300" i="13"/>
  <c r="K301" i="13"/>
  <c r="K302" i="13"/>
  <c r="K303" i="13"/>
  <c r="K304" i="13"/>
  <c r="K305" i="13"/>
  <c r="K306" i="13"/>
  <c r="K307" i="13"/>
  <c r="K308" i="13"/>
  <c r="K309" i="13"/>
  <c r="K310" i="13"/>
  <c r="K311" i="13"/>
  <c r="K312" i="13"/>
  <c r="K313" i="13"/>
  <c r="K314" i="13"/>
  <c r="K315" i="13"/>
  <c r="K316" i="13"/>
  <c r="K317" i="13"/>
  <c r="K318" i="13"/>
  <c r="K319" i="13"/>
  <c r="K320" i="13"/>
  <c r="K321" i="13"/>
  <c r="K322" i="13"/>
  <c r="K323" i="13"/>
  <c r="K324" i="13"/>
  <c r="K325" i="13"/>
  <c r="K326" i="13"/>
  <c r="K327" i="13"/>
  <c r="K328" i="13"/>
  <c r="K329" i="13"/>
  <c r="K330" i="13"/>
  <c r="K331" i="13"/>
  <c r="K332" i="13"/>
  <c r="K333" i="13"/>
  <c r="K334" i="13"/>
  <c r="K335" i="13"/>
  <c r="K336" i="13"/>
  <c r="K337" i="13"/>
  <c r="K338" i="13"/>
  <c r="K339" i="13"/>
  <c r="K340" i="13"/>
  <c r="K341" i="13"/>
  <c r="K342" i="13"/>
  <c r="K343" i="13"/>
  <c r="K344" i="13"/>
  <c r="K345" i="13"/>
  <c r="K346" i="13"/>
  <c r="K347" i="13"/>
  <c r="K348" i="13"/>
  <c r="K349" i="13"/>
  <c r="K350" i="13"/>
  <c r="K351" i="13"/>
  <c r="K352" i="13"/>
  <c r="K353" i="13"/>
  <c r="K354" i="13"/>
  <c r="K355" i="13"/>
  <c r="K356" i="13"/>
  <c r="K357" i="13"/>
  <c r="K358" i="13"/>
  <c r="K359" i="13"/>
  <c r="K360" i="13"/>
  <c r="K361" i="13"/>
  <c r="K362" i="13"/>
  <c r="K363" i="13"/>
  <c r="K364" i="13"/>
  <c r="K365" i="13"/>
  <c r="K366" i="13"/>
  <c r="K367" i="13"/>
  <c r="K368" i="13"/>
  <c r="K369" i="13"/>
  <c r="K370" i="13"/>
  <c r="K225" i="13"/>
  <c r="L225" i="13" s="1"/>
  <c r="C5" i="4" s="1"/>
  <c r="K226" i="13"/>
  <c r="K227" i="13"/>
  <c r="K228" i="13"/>
  <c r="K229" i="13"/>
  <c r="K230" i="13"/>
  <c r="K231" i="13"/>
  <c r="K232" i="13"/>
  <c r="K233" i="13"/>
  <c r="K234" i="13"/>
  <c r="K235" i="13"/>
  <c r="K236" i="13"/>
  <c r="K237" i="13"/>
  <c r="K238" i="13"/>
  <c r="K239" i="13"/>
  <c r="K240" i="13"/>
  <c r="K241" i="13"/>
  <c r="K242" i="13"/>
  <c r="K243" i="13"/>
  <c r="K244" i="13"/>
  <c r="K245" i="13"/>
  <c r="K246" i="13"/>
  <c r="K247" i="13"/>
  <c r="K248" i="13"/>
  <c r="K249" i="13"/>
  <c r="K250" i="13"/>
  <c r="K251" i="13"/>
  <c r="K252" i="13"/>
  <c r="K253" i="13"/>
  <c r="K254" i="13"/>
  <c r="K255" i="13"/>
  <c r="K256" i="13"/>
  <c r="K257" i="13"/>
  <c r="K258" i="13"/>
  <c r="K259" i="13"/>
  <c r="K260" i="13"/>
  <c r="K261" i="13"/>
  <c r="K262" i="13"/>
  <c r="K263" i="13"/>
  <c r="K264" i="13"/>
  <c r="K265" i="13"/>
  <c r="K266" i="13"/>
  <c r="K267" i="13"/>
  <c r="K268" i="13"/>
  <c r="K269" i="13"/>
  <c r="K270" i="13"/>
  <c r="K271" i="13"/>
  <c r="K272" i="13"/>
  <c r="K273" i="13"/>
  <c r="K274" i="13"/>
  <c r="K275" i="13"/>
  <c r="K276" i="13"/>
  <c r="K277" i="13"/>
  <c r="K278" i="13"/>
  <c r="K279" i="13"/>
  <c r="K280" i="13"/>
  <c r="K281" i="13"/>
  <c r="K282" i="13"/>
  <c r="K283" i="13"/>
  <c r="K284" i="13"/>
  <c r="K285" i="13"/>
  <c r="K286" i="13"/>
  <c r="K287" i="13"/>
  <c r="K288" i="13"/>
  <c r="K289" i="13"/>
  <c r="K290" i="13"/>
  <c r="K291" i="13"/>
  <c r="K292" i="13"/>
  <c r="K293" i="13"/>
  <c r="K294" i="13"/>
  <c r="K295" i="13"/>
  <c r="K296" i="13"/>
  <c r="K151" i="13"/>
  <c r="K152" i="13"/>
  <c r="K153" i="13"/>
  <c r="K154" i="13"/>
  <c r="K155" i="13"/>
  <c r="K156" i="13"/>
  <c r="K157" i="13"/>
  <c r="K158" i="13"/>
  <c r="K159" i="13"/>
  <c r="K160" i="13"/>
  <c r="K161" i="13"/>
  <c r="K162" i="13"/>
  <c r="K163" i="13"/>
  <c r="K164" i="13"/>
  <c r="K165" i="13"/>
  <c r="K166" i="13"/>
  <c r="K167" i="13"/>
  <c r="K168" i="13"/>
  <c r="K169" i="13"/>
  <c r="K170" i="13"/>
  <c r="K171" i="13"/>
  <c r="K172" i="13"/>
  <c r="K173" i="13"/>
  <c r="K174" i="13"/>
  <c r="K175" i="13"/>
  <c r="K176" i="13"/>
  <c r="K177" i="13"/>
  <c r="K178" i="13"/>
  <c r="K179" i="13"/>
  <c r="K180" i="13"/>
  <c r="K181" i="13"/>
  <c r="K182" i="13"/>
  <c r="K183" i="13"/>
  <c r="K184" i="13"/>
  <c r="K185" i="13"/>
  <c r="K186" i="13"/>
  <c r="K187" i="13"/>
  <c r="K188" i="13"/>
  <c r="K189" i="13"/>
  <c r="K190" i="13"/>
  <c r="K191" i="13"/>
  <c r="K192" i="13"/>
  <c r="K193" i="13"/>
  <c r="K194" i="13"/>
  <c r="K195" i="13"/>
  <c r="K196" i="13"/>
  <c r="K197" i="13"/>
  <c r="K198" i="13"/>
  <c r="K199" i="13"/>
  <c r="K200" i="13"/>
  <c r="K201" i="13"/>
  <c r="K202" i="13"/>
  <c r="K203" i="13"/>
  <c r="K204" i="13"/>
  <c r="K205" i="13"/>
  <c r="K206" i="13"/>
  <c r="K207" i="13"/>
  <c r="K208" i="13"/>
  <c r="K209" i="13"/>
  <c r="K210" i="13"/>
  <c r="K211" i="13"/>
  <c r="K212" i="13"/>
  <c r="K213" i="13"/>
  <c r="K214" i="13"/>
  <c r="K215" i="13"/>
  <c r="K216" i="13"/>
  <c r="K217" i="13"/>
  <c r="K218" i="13"/>
  <c r="K219" i="13"/>
  <c r="K220" i="13"/>
  <c r="K221" i="13"/>
  <c r="K222" i="13"/>
  <c r="K77" i="13"/>
  <c r="K78" i="13"/>
  <c r="K79" i="13"/>
  <c r="K80" i="13"/>
  <c r="K81" i="13"/>
  <c r="K82" i="13"/>
  <c r="K83" i="13"/>
  <c r="K84" i="13"/>
  <c r="K85" i="13"/>
  <c r="K86" i="13"/>
  <c r="K87" i="13"/>
  <c r="K88" i="13"/>
  <c r="K89" i="13"/>
  <c r="K90" i="13"/>
  <c r="K91" i="13"/>
  <c r="K92" i="13"/>
  <c r="K93" i="13"/>
  <c r="K94" i="13"/>
  <c r="K95" i="13"/>
  <c r="K96" i="13"/>
  <c r="K97" i="13"/>
  <c r="K98" i="13"/>
  <c r="K99" i="13"/>
  <c r="K100" i="13"/>
  <c r="K101" i="13"/>
  <c r="K102" i="13"/>
  <c r="K103" i="13"/>
  <c r="K104" i="13"/>
  <c r="K105" i="13"/>
  <c r="K106" i="13"/>
  <c r="K107" i="13"/>
  <c r="K108" i="13"/>
  <c r="K109" i="13"/>
  <c r="K110" i="13"/>
  <c r="K111" i="13"/>
  <c r="K112" i="13"/>
  <c r="K113" i="13"/>
  <c r="K114" i="13"/>
  <c r="K115" i="13"/>
  <c r="K116" i="13"/>
  <c r="K117" i="13"/>
  <c r="K118" i="13"/>
  <c r="K119" i="13"/>
  <c r="K120" i="13"/>
  <c r="K121" i="13"/>
  <c r="K122" i="13"/>
  <c r="K123" i="13"/>
  <c r="K124" i="13"/>
  <c r="K125" i="13"/>
  <c r="K126" i="13"/>
  <c r="K127" i="13"/>
  <c r="K128" i="13"/>
  <c r="K129" i="13"/>
  <c r="K130" i="13"/>
  <c r="K131" i="13"/>
  <c r="K132" i="13"/>
  <c r="K133" i="13"/>
  <c r="K134" i="13"/>
  <c r="K135" i="13"/>
  <c r="K136" i="13"/>
  <c r="K137" i="13"/>
  <c r="K138" i="13"/>
  <c r="K139" i="13"/>
  <c r="K140" i="13"/>
  <c r="K141" i="13"/>
  <c r="K142" i="13"/>
  <c r="K143" i="13"/>
  <c r="K144" i="13"/>
  <c r="K145" i="13"/>
  <c r="K146" i="13"/>
  <c r="K147" i="13"/>
  <c r="K148" i="13"/>
  <c r="K3" i="13"/>
  <c r="K55" i="13"/>
  <c r="K56" i="13"/>
  <c r="K57" i="13"/>
  <c r="K58" i="13"/>
  <c r="K59" i="13"/>
  <c r="K60" i="13"/>
  <c r="K61" i="13"/>
  <c r="K62" i="13"/>
  <c r="K63" i="13"/>
  <c r="K64" i="13"/>
  <c r="K65" i="13"/>
  <c r="K66" i="13"/>
  <c r="K67" i="13"/>
  <c r="K68" i="13"/>
  <c r="K69" i="13"/>
  <c r="K70" i="13"/>
  <c r="K71" i="13"/>
  <c r="K72" i="13"/>
  <c r="K73" i="13"/>
  <c r="K74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52" i="13"/>
  <c r="K53" i="13"/>
  <c r="K54" i="13"/>
  <c r="K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G2" i="4" l="1" a="1"/>
  <c r="G2" i="4" s="1"/>
  <c r="J275" i="6"/>
  <c r="F269" i="5"/>
  <c r="F193" i="5"/>
  <c r="F231" i="5"/>
  <c r="F155" i="5"/>
  <c r="F117" i="5"/>
  <c r="F41" i="5"/>
  <c r="F345" i="5"/>
  <c r="F307" i="5"/>
  <c r="F79" i="5"/>
  <c r="F3" i="5"/>
  <c r="J309" i="6"/>
  <c r="J241" i="6"/>
  <c r="J207" i="6"/>
  <c r="J173" i="6"/>
  <c r="J139" i="6"/>
  <c r="J105" i="6"/>
  <c r="J71" i="6"/>
  <c r="J37" i="6"/>
  <c r="J3" i="6"/>
  <c r="L669" i="13"/>
  <c r="C11" i="4" s="1"/>
  <c r="L595" i="13"/>
  <c r="C10" i="4" s="1"/>
  <c r="L447" i="13"/>
  <c r="C8" i="4" s="1"/>
  <c r="L521" i="13"/>
  <c r="C9" i="4" s="1"/>
  <c r="L373" i="13"/>
  <c r="C7" i="4" s="1"/>
  <c r="L3" i="13"/>
  <c r="L77" i="13"/>
  <c r="C3" i="4" s="1"/>
  <c r="L151" i="13"/>
  <c r="C4" i="4" s="1"/>
  <c r="C2" i="4" l="1"/>
  <c r="B3" i="15" s="1" a="1"/>
  <c r="B3" i="1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<sst xmlns="http://schemas.openxmlformats.org/spreadsheetml/2006/main" count="10219" uniqueCount="896">
  <si>
    <t>★  AESCOBARA  —  72 partidos</t>
  </si>
  <si>
    <t>AESCOBARA</t>
  </si>
  <si>
    <t>GROUP A</t>
  </si>
  <si>
    <t>Mexico</t>
  </si>
  <si>
    <t>South Africa</t>
  </si>
  <si>
    <t>South Korea</t>
  </si>
  <si>
    <t>Czechia</t>
  </si>
  <si>
    <t>GROUP B</t>
  </si>
  <si>
    <t>Canada</t>
  </si>
  <si>
    <t>Bosnia and Herzegovina</t>
  </si>
  <si>
    <t>GROUP D</t>
  </si>
  <si>
    <t>USA</t>
  </si>
  <si>
    <t>Paraguay</t>
  </si>
  <si>
    <t>Qatar</t>
  </si>
  <si>
    <t>Switzerland</t>
  </si>
  <si>
    <t>GROUP C</t>
  </si>
  <si>
    <t>Brazil</t>
  </si>
  <si>
    <t>Morocco</t>
  </si>
  <si>
    <t>Haiti</t>
  </si>
  <si>
    <t>Scotland</t>
  </si>
  <si>
    <t>Australia</t>
  </si>
  <si>
    <t>Türkiye</t>
  </si>
  <si>
    <t>GROUP E</t>
  </si>
  <si>
    <t>Germany</t>
  </si>
  <si>
    <t>Curaçao</t>
  </si>
  <si>
    <t>GROUP F</t>
  </si>
  <si>
    <t>Netherlands</t>
  </si>
  <si>
    <t>Japan</t>
  </si>
  <si>
    <t>Ivory Coast</t>
  </si>
  <si>
    <t>Ecuador</t>
  </si>
  <si>
    <t>Sweden</t>
  </si>
  <si>
    <t>Tunisia</t>
  </si>
  <si>
    <t>GROUP H</t>
  </si>
  <si>
    <t>Spain</t>
  </si>
  <si>
    <t>CAPE VERDE</t>
  </si>
  <si>
    <t>GROUP G</t>
  </si>
  <si>
    <t>Belgium</t>
  </si>
  <si>
    <t>Egypt</t>
  </si>
  <si>
    <t>Saudi Arabia</t>
  </si>
  <si>
    <t>Uruguay</t>
  </si>
  <si>
    <t>Iran</t>
  </si>
  <si>
    <t>New Zealand</t>
  </si>
  <si>
    <t>GROUP I</t>
  </si>
  <si>
    <t>France</t>
  </si>
  <si>
    <t>Senegal</t>
  </si>
  <si>
    <t>Iraq</t>
  </si>
  <si>
    <t>Norway</t>
  </si>
  <si>
    <t>GROUP J</t>
  </si>
  <si>
    <t>Argentina</t>
  </si>
  <si>
    <t>Algeria</t>
  </si>
  <si>
    <t>Austria</t>
  </si>
  <si>
    <t>Jordan</t>
  </si>
  <si>
    <t>GROUP K</t>
  </si>
  <si>
    <t>Portugal</t>
  </si>
  <si>
    <t>Congo DR</t>
  </si>
  <si>
    <t>GROUP L</t>
  </si>
  <si>
    <t>England</t>
  </si>
  <si>
    <t>Croatia</t>
  </si>
  <si>
    <t>Ghana</t>
  </si>
  <si>
    <t>Panama</t>
  </si>
  <si>
    <t>Uzbekistan</t>
  </si>
  <si>
    <t>Colombia</t>
  </si>
  <si>
    <t>★  DAMI  —  72 partidos</t>
  </si>
  <si>
    <t>DAMI</t>
  </si>
  <si>
    <t>★  DAVID  —  72 partidos</t>
  </si>
  <si>
    <t>DAVID</t>
  </si>
  <si>
    <t>★  F3ROMONAS  —  72 partidos</t>
  </si>
  <si>
    <t>F3ROMONAS</t>
  </si>
  <si>
    <t>★  GUILLERMO  —  72 partidos</t>
  </si>
  <si>
    <t>GUILLERMO</t>
  </si>
  <si>
    <t>★  JMONSALV  —  72 partidos</t>
  </si>
  <si>
    <t>JMONSALV</t>
  </si>
  <si>
    <t>★  JTORRESM  —  72 partidos</t>
  </si>
  <si>
    <t>JTORRESM</t>
  </si>
  <si>
    <t>★  Mike  —  72 partidos</t>
  </si>
  <si>
    <t>Mike</t>
  </si>
  <si>
    <t>★  SERGICM  —  72 partidos</t>
  </si>
  <si>
    <t>SERGICM</t>
  </si>
  <si>
    <t>★  TIBURON ROCA  —  72 partidos</t>
  </si>
  <si>
    <t>TIBURON ROCA</t>
  </si>
  <si>
    <t>username</t>
  </si>
  <si>
    <t>user_id</t>
  </si>
  <si>
    <t>best_player</t>
  </si>
  <si>
    <t>top_scorer</t>
  </si>
  <si>
    <t>best_keeper</t>
  </si>
  <si>
    <t>best_young</t>
  </si>
  <si>
    <t>fair_play</t>
  </si>
  <si>
    <t>d562c0c6-a625-4236-bdb6-3ff7530be80e</t>
  </si>
  <si>
    <t>JAPAN</t>
  </si>
  <si>
    <t>8b15aca3-4ca4-419a-9572-9edfed0ee054</t>
  </si>
  <si>
    <t>05baa4c9-babb-479e-89ad-a363bb4731e8</t>
  </si>
  <si>
    <t>1e120ca7-b652-4e3d-9e05-a35fb495a661</t>
  </si>
  <si>
    <t>SPAIN</t>
  </si>
  <si>
    <t>713d8068-0c77-4e2a-a816-a9ce4b9f9564</t>
  </si>
  <si>
    <t>GERMANY</t>
  </si>
  <si>
    <t>89e5b4b5-385c-4eca-b932-3938537a170a</t>
  </si>
  <si>
    <t>4cddd374-e56f-40c3-8b51-f02b14da3dc7</t>
  </si>
  <si>
    <t>CURAÇAO</t>
  </si>
  <si>
    <t>5312683a-abe0-400c-9a3d-8b8a4e1f1018</t>
  </si>
  <si>
    <t>3983aafd-5f92-4e75-8bbc-07ab03ca0488</t>
  </si>
  <si>
    <t>5f7a1833-45e0-4b3e-9716-6e1d370738b1</t>
  </si>
  <si>
    <t>Kylian Mbappé (FRANCE)</t>
  </si>
  <si>
    <t>Harry Kane (ENGLAND)</t>
  </si>
  <si>
    <t>Mike Maignan (FRANCE)</t>
  </si>
  <si>
    <t>Lamine Yamal (SPAIN)</t>
  </si>
  <si>
    <t>Michael Olise (FRANCE)</t>
  </si>
  <si>
    <t>KYLIAN MBAPPÉ (FRANCE)</t>
  </si>
  <si>
    <t>Yassine Bounou (MOROCCO)</t>
  </si>
  <si>
    <t>LAMINE YAMAL (SPAIN)</t>
  </si>
  <si>
    <t>Emiliano Martínez (ARGENTINA)</t>
  </si>
  <si>
    <t>Raphinha (BRAZIL)</t>
  </si>
  <si>
    <t>Unai Simón (SPAIN)</t>
  </si>
  <si>
    <t>Lionel Messi (ARGENTINA)</t>
  </si>
  <si>
    <t>Thibaut Courtois (BELGIUM)</t>
  </si>
  <si>
    <t>Joan Garcia (SPAIN)</t>
  </si>
  <si>
    <t>DIOGO COSTA (PORTUGAL)</t>
  </si>
  <si>
    <t>HARRY KANE (ENGLAND)</t>
  </si>
  <si>
    <t>JORDAN PICKFORD (ENGLAND)</t>
  </si>
  <si>
    <t>SAUDI ARABIA</t>
  </si>
  <si>
    <t>match_id</t>
  </si>
  <si>
    <t>selected_team</t>
  </si>
  <si>
    <t>fecha_pronostico</t>
  </si>
  <si>
    <t>100_local</t>
  </si>
  <si>
    <t>2026-06-11 13:59:12.398676+00</t>
  </si>
  <si>
    <t>100_visitante</t>
  </si>
  <si>
    <t>2026-06-11 13:59:19.863218+00</t>
  </si>
  <si>
    <t>101_local</t>
  </si>
  <si>
    <t>2026-06-11 13:59:25.541662+00</t>
  </si>
  <si>
    <t>101_visitante</t>
  </si>
  <si>
    <t>2026-06-11 13:59:31.702973+00</t>
  </si>
  <si>
    <t>102_local</t>
  </si>
  <si>
    <t>2026-06-11 13:59:36.232644+00</t>
  </si>
  <si>
    <t>102_visitante</t>
  </si>
  <si>
    <t>2026-06-11 13:59:39.058852+00</t>
  </si>
  <si>
    <t>103_local</t>
  </si>
  <si>
    <t>2026-06-11 14:00:15.546925+00</t>
  </si>
  <si>
    <t>103_visitante</t>
  </si>
  <si>
    <t>2026-06-11 14:00:17.879711+00</t>
  </si>
  <si>
    <t>104_local</t>
  </si>
  <si>
    <t>2026-06-11 13:59:52.311113+00</t>
  </si>
  <si>
    <t>104_visitante</t>
  </si>
  <si>
    <t>2026-06-11 14:00:12.486181+00</t>
  </si>
  <si>
    <t>89_local</t>
  </si>
  <si>
    <t>2026-06-09 17:03:42.300698+00</t>
  </si>
  <si>
    <t>89_visitante</t>
  </si>
  <si>
    <t>2026-06-09 17:03:44.814999+00</t>
  </si>
  <si>
    <t>90_local</t>
  </si>
  <si>
    <t>2026-06-09 17:03:48.135951+00</t>
  </si>
  <si>
    <t>90_visitante</t>
  </si>
  <si>
    <t>2026-06-09 17:03:50.611728+00</t>
  </si>
  <si>
    <t>91_local</t>
  </si>
  <si>
    <t>2026-06-09 17:03:52.878265+00</t>
  </si>
  <si>
    <t>91_visitante</t>
  </si>
  <si>
    <t>2026-06-11 13:57:15.931141+00</t>
  </si>
  <si>
    <t>92_local</t>
  </si>
  <si>
    <t>2026-06-11 13:57:15.931092+00</t>
  </si>
  <si>
    <t>92_visitante</t>
  </si>
  <si>
    <t>2026-06-11 13:57:15.931202+00</t>
  </si>
  <si>
    <t>93_local</t>
  </si>
  <si>
    <t>2026-06-11 13:57:23.215508+00</t>
  </si>
  <si>
    <t>93_visitante</t>
  </si>
  <si>
    <t>2026-06-11 13:57:25.028764+00</t>
  </si>
  <si>
    <t>94_local</t>
  </si>
  <si>
    <t>2026-06-11 13:57:29.044404+00</t>
  </si>
  <si>
    <t>94_visitante</t>
  </si>
  <si>
    <t>2026-06-11 13:57:31.896886+00</t>
  </si>
  <si>
    <t>95_local</t>
  </si>
  <si>
    <t>2026-06-11 13:57:35.564172+00</t>
  </si>
  <si>
    <t>95_visitante</t>
  </si>
  <si>
    <t>2026-06-11 13:57:54.366774+00</t>
  </si>
  <si>
    <t>96_local</t>
  </si>
  <si>
    <t>2026-06-11 13:58:08.104451+00</t>
  </si>
  <si>
    <t>96_visitante</t>
  </si>
  <si>
    <t>2026-06-11 13:58:15.08989+00</t>
  </si>
  <si>
    <t>97_local</t>
  </si>
  <si>
    <t>2026-06-11 13:58:23.571405+00</t>
  </si>
  <si>
    <t>97_visitante</t>
  </si>
  <si>
    <t>2026-06-11 13:58:26.961855+00</t>
  </si>
  <si>
    <t>98_local</t>
  </si>
  <si>
    <t>2026-06-11 13:58:30.195179+00</t>
  </si>
  <si>
    <t>98_visitante</t>
  </si>
  <si>
    <t>2026-06-11 13:58:32.939704+00</t>
  </si>
  <si>
    <t>99_local</t>
  </si>
  <si>
    <t>2026-06-11 13:58:36.402938+00</t>
  </si>
  <si>
    <t>99_visitante</t>
  </si>
  <si>
    <t>2026-06-11 13:58:56.935294+00</t>
  </si>
  <si>
    <t>podium_1</t>
  </si>
  <si>
    <t>2026-06-11 14:00:30.747569+00</t>
  </si>
  <si>
    <t>podium_2</t>
  </si>
  <si>
    <t>2026-06-11 14:00:33.038017+00</t>
  </si>
  <si>
    <t>podium_3</t>
  </si>
  <si>
    <t>2026-06-11 14:00:59.829083+00</t>
  </si>
  <si>
    <t>podium_4</t>
  </si>
  <si>
    <t>2026-06-11 14:01:07.180679+00</t>
  </si>
  <si>
    <t>2026-06-11 14:40:30.869071+00</t>
  </si>
  <si>
    <t>2026-06-11 14:40:33.495146+00</t>
  </si>
  <si>
    <t>2026-06-11 14:40:43.287271+00</t>
  </si>
  <si>
    <t>2026-06-11 14:40:45.470997+00</t>
  </si>
  <si>
    <t>2026-06-11 14:40:47.33953+00</t>
  </si>
  <si>
    <t>2026-06-11 14:40:51.229593+00</t>
  </si>
  <si>
    <t>2026-06-11 14:40:58.610054+00</t>
  </si>
  <si>
    <t>2026-06-11 14:41:02.253055+00</t>
  </si>
  <si>
    <t>2026-06-11 14:41:06.841469+00</t>
  </si>
  <si>
    <t>2026-06-11 14:41:09.227289+00</t>
  </si>
  <si>
    <t>2026-06-11 12:15:13.622932+00</t>
  </si>
  <si>
    <t>2026-06-11 12:15:17.053424+00</t>
  </si>
  <si>
    <t>2026-06-11 12:15:21.886925+00</t>
  </si>
  <si>
    <t>2026-06-11 12:15:27.126369+00</t>
  </si>
  <si>
    <t>2026-06-11 14:32:34.016915+00</t>
  </si>
  <si>
    <t>2026-06-11 14:32:36.352471+00</t>
  </si>
  <si>
    <t>2026-06-11 14:32:39.695084+00</t>
  </si>
  <si>
    <t>2026-06-11 14:32:42.388475+00</t>
  </si>
  <si>
    <t>2026-06-11 14:32:46.678648+00</t>
  </si>
  <si>
    <t>2026-06-11 14:32:52.245339+00</t>
  </si>
  <si>
    <t>2026-06-11 14:37:17.009215+00</t>
  </si>
  <si>
    <t>2026-06-11 14:37:19.639806+00</t>
  </si>
  <si>
    <t>2026-06-11 14:37:22.861207+00</t>
  </si>
  <si>
    <t>2026-06-11 14:37:25.314213+00</t>
  </si>
  <si>
    <t>2026-06-11 14:37:27.533725+00</t>
  </si>
  <si>
    <t>2026-06-11 14:37:30.872405+00</t>
  </si>
  <si>
    <t>2026-06-11 14:37:50.553928+00</t>
  </si>
  <si>
    <t>2026-06-11 14:40:14.1123+00</t>
  </si>
  <si>
    <t>2026-06-11 14:40:16.105587+00</t>
  </si>
  <si>
    <t>2026-06-11 14:40:19.584042+00</t>
  </si>
  <si>
    <t>2026-06-11 14:40:22.689011+00</t>
  </si>
  <si>
    <t>2026-06-11 14:40:27.742147+00</t>
  </si>
  <si>
    <t>2026-06-11 14:41:16.332387+00</t>
  </si>
  <si>
    <t>2026-06-11 14:41:20.200415+00</t>
  </si>
  <si>
    <t>2026-06-11 14:41:52.709099+00</t>
  </si>
  <si>
    <t>2026-06-11 14:41:54.543657+00</t>
  </si>
  <si>
    <t>2026-06-11 18:15:09.241047+00</t>
  </si>
  <si>
    <t>2026-06-11 18:15:11.945167+00</t>
  </si>
  <si>
    <t>2026-06-11 18:15:18.273346+00</t>
  </si>
  <si>
    <t>2026-06-11 18:15:31.851753+00</t>
  </si>
  <si>
    <t>2026-06-11 18:15:37.082831+00</t>
  </si>
  <si>
    <t>2026-06-11 18:15:44.246954+00</t>
  </si>
  <si>
    <t>2026-06-11 18:15:51.061209+00</t>
  </si>
  <si>
    <t>2026-06-11 18:15:52.518361+00</t>
  </si>
  <si>
    <t>2026-06-11 18:15:55.20188+00</t>
  </si>
  <si>
    <t>2026-06-11 18:16:06.777077+00</t>
  </si>
  <si>
    <t>2026-06-11 13:54:10.129702+00</t>
  </si>
  <si>
    <t>2026-06-11 18:01:23.590194+00</t>
  </si>
  <si>
    <t>2026-06-11 18:01:37.004275+00</t>
  </si>
  <si>
    <t>2026-06-11 18:01:39.753168+00</t>
  </si>
  <si>
    <t>2026-06-11 18:01:42.992162+00</t>
  </si>
  <si>
    <t>2026-06-11 18:13:10.312507+00</t>
  </si>
  <si>
    <t>2026-06-11 18:13:13.69201+00</t>
  </si>
  <si>
    <t>2026-06-11 18:13:16.183901+00</t>
  </si>
  <si>
    <t>2026-06-11 18:13:33.685334+00</t>
  </si>
  <si>
    <t>2026-06-11 18:13:36.636513+00</t>
  </si>
  <si>
    <t>2026-06-11 18:13:40.366712+00</t>
  </si>
  <si>
    <t>2026-06-11 18:13:43.252094+00</t>
  </si>
  <si>
    <t>2026-06-11 18:13:50.236651+00</t>
  </si>
  <si>
    <t>2026-06-11 18:13:53.385305+00</t>
  </si>
  <si>
    <t>2026-06-11 18:13:59.410643+00</t>
  </si>
  <si>
    <t>2026-06-11 18:14:28.086401+00</t>
  </si>
  <si>
    <t>2026-06-11 18:14:33.439643+00</t>
  </si>
  <si>
    <t>2026-06-11 18:14:42.219347+00</t>
  </si>
  <si>
    <t>2026-06-11 18:14:47.134739+00</t>
  </si>
  <si>
    <t>2026-06-11 18:14:51.572424+00</t>
  </si>
  <si>
    <t>2026-06-11 18:14:55.697009+00</t>
  </si>
  <si>
    <t>2026-06-11 18:14:58.104144+00</t>
  </si>
  <si>
    <t>2026-06-11 18:16:15.628083+00</t>
  </si>
  <si>
    <t>2026-06-11 18:16:18.886379+00</t>
  </si>
  <si>
    <t>2026-06-11 18:16:36.142928+00</t>
  </si>
  <si>
    <t>2026-06-11 18:16:40.578591+00</t>
  </si>
  <si>
    <t>2026-06-11 19:19:51.825787+00</t>
  </si>
  <si>
    <t>2026-06-11 19:19:55.086237+00</t>
  </si>
  <si>
    <t>2026-06-11 19:20:02.144209+00</t>
  </si>
  <si>
    <t>2026-06-11 19:20:10.946825+00</t>
  </si>
  <si>
    <t>2026-06-11 19:20:14.75174+00</t>
  </si>
  <si>
    <t>2026-06-11 19:20:17.636284+00</t>
  </si>
  <si>
    <t>2026-06-11 19:20:47.046616+00</t>
  </si>
  <si>
    <t>2026-06-11 19:20:51.078822+00</t>
  </si>
  <si>
    <t>2026-06-11 19:20:26.411574+00</t>
  </si>
  <si>
    <t>2026-06-11 19:20:30.227484+00</t>
  </si>
  <si>
    <t>2026-06-11 19:16:15.434514+00</t>
  </si>
  <si>
    <t>2026-06-11 19:16:18.866166+00</t>
  </si>
  <si>
    <t>2026-06-11 19:16:23.249025+00</t>
  </si>
  <si>
    <t>2026-06-11 19:16:37.636507+00</t>
  </si>
  <si>
    <t>2026-06-11 19:17:09.29403+00</t>
  </si>
  <si>
    <t>2026-06-11 19:17:59.108539+00</t>
  </si>
  <si>
    <t>2026-06-11 19:18:05.114919+00</t>
  </si>
  <si>
    <t>2026-06-11 19:18:10.957629+00</t>
  </si>
  <si>
    <t>2026-06-11 19:18:25.703686+00</t>
  </si>
  <si>
    <t>2026-06-11 19:18:32.009139+00</t>
  </si>
  <si>
    <t>2026-06-11 19:18:38.986717+00</t>
  </si>
  <si>
    <t>2026-06-11 19:18:43.683688+00</t>
  </si>
  <si>
    <t>2026-06-11 19:18:50.219958+00</t>
  </si>
  <si>
    <t>2026-06-11 19:18:59.455477+00</t>
  </si>
  <si>
    <t>2026-06-11 19:19:05.281226+00</t>
  </si>
  <si>
    <t>2026-06-11 19:19:09.978546+00</t>
  </si>
  <si>
    <t>2026-06-11 19:19:27.607142+00</t>
  </si>
  <si>
    <t>2026-06-11 19:19:33.108147+00</t>
  </si>
  <si>
    <t>2026-06-11 19:19:35.854034+00</t>
  </si>
  <si>
    <t>2026-06-11 19:19:39.749389+00</t>
  </si>
  <si>
    <t>2026-06-11 19:19:44.210716+00</t>
  </si>
  <si>
    <t>2026-06-11 19:19:47.842206+00</t>
  </si>
  <si>
    <t>2026-06-11 19:21:14.346598+00</t>
  </si>
  <si>
    <t>2026-06-11 19:21:18.074189+00</t>
  </si>
  <si>
    <t>2026-06-11 19:21:22.416662+00</t>
  </si>
  <si>
    <t>2026-06-11 19:21:25.289146+00</t>
  </si>
  <si>
    <t>2026-06-11 19:00:21.343975+00</t>
  </si>
  <si>
    <t>2026-06-11 19:00:28.024983+00</t>
  </si>
  <si>
    <t>2026-06-11 19:00:36.767112+00</t>
  </si>
  <si>
    <t>2026-06-11 19:00:44.485665+00</t>
  </si>
  <si>
    <t>2026-06-11 19:00:48.838795+00</t>
  </si>
  <si>
    <t>2026-06-11 19:00:57.558022+00</t>
  </si>
  <si>
    <t>2026-06-11 19:01:34.779174+00</t>
  </si>
  <si>
    <t>2026-06-11 19:01:37.307317+00</t>
  </si>
  <si>
    <t>2026-06-11 19:01:24.339628+00</t>
  </si>
  <si>
    <t>2026-06-11 19:01:31.941327+00</t>
  </si>
  <si>
    <t>2026-06-11 18:57:35.616466+00</t>
  </si>
  <si>
    <t>2026-06-11 18:57:40.205385+00</t>
  </si>
  <si>
    <t>2026-06-11 18:57:45.461679+00</t>
  </si>
  <si>
    <t>2026-06-11 18:57:51.417848+00</t>
  </si>
  <si>
    <t>2026-06-11 18:57:57.3864+00</t>
  </si>
  <si>
    <t>2026-06-11 18:58:04.080831+00</t>
  </si>
  <si>
    <t>2026-06-11 18:58:09.504654+00</t>
  </si>
  <si>
    <t>2026-06-11 18:58:13.552463+00</t>
  </si>
  <si>
    <t>2026-06-11 18:58:18.082702+00</t>
  </si>
  <si>
    <t>2026-06-11 18:58:23.494072+00</t>
  </si>
  <si>
    <t>2026-06-11 18:58:30.206335+00</t>
  </si>
  <si>
    <t>2026-06-11 18:58:39.281345+00</t>
  </si>
  <si>
    <t>2026-06-11 18:58:47.299985+00</t>
  </si>
  <si>
    <t>2026-06-11 18:58:53.231215+00</t>
  </si>
  <si>
    <t>2026-06-11 18:58:59.978904+00</t>
  </si>
  <si>
    <t>2026-06-11 18:59:05.443631+00</t>
  </si>
  <si>
    <t>2026-06-11 18:59:38.787052+00</t>
  </si>
  <si>
    <t>2026-06-11 18:59:43.859568+00</t>
  </si>
  <si>
    <t>2026-06-11 18:59:53.761539+00</t>
  </si>
  <si>
    <t>2026-06-11 19:00:00.704967+00</t>
  </si>
  <si>
    <t>2026-06-11 19:00:07.839051+00</t>
  </si>
  <si>
    <t>2026-06-11 19:00:16.68232+00</t>
  </si>
  <si>
    <t>2026-06-11 19:01:59.115022+00</t>
  </si>
  <si>
    <t>2026-06-11 19:02:00.410008+00</t>
  </si>
  <si>
    <t>2026-06-11 19:02:08.432431+00</t>
  </si>
  <si>
    <t>2026-06-11 19:02:09.549065+00</t>
  </si>
  <si>
    <t>2026-06-11 09:08:18.604072+00</t>
  </si>
  <si>
    <t>2026-06-11 09:08:20.837061+00</t>
  </si>
  <si>
    <t>2026-06-11 09:08:25.926971+00</t>
  </si>
  <si>
    <t>2026-06-11 09:08:32.879966+00</t>
  </si>
  <si>
    <t>2026-06-11 09:08:38.169315+00</t>
  </si>
  <si>
    <t>2026-06-11 09:08:44.694943+00</t>
  </si>
  <si>
    <t>2026-06-11 09:08:50.793446+00</t>
  </si>
  <si>
    <t>2026-06-11 09:08:53.493353+00</t>
  </si>
  <si>
    <t>2026-06-11 09:09:00.541408+00</t>
  </si>
  <si>
    <t>2026-06-11 09:09:02.788392+00</t>
  </si>
  <si>
    <t>2026-06-11 09:03:27.284307+00</t>
  </si>
  <si>
    <t>2026-06-11 09:03:30.629275+00</t>
  </si>
  <si>
    <t>2026-06-11 09:03:34.810747+00</t>
  </si>
  <si>
    <t>2026-06-11 09:03:38.864939+00</t>
  </si>
  <si>
    <t>2026-06-11 09:03:43.927326+00</t>
  </si>
  <si>
    <t>2026-06-11 09:03:49.705402+00</t>
  </si>
  <si>
    <t>2026-06-11 09:03:53.174989+00</t>
  </si>
  <si>
    <t>2026-06-11 09:03:55.396364+00</t>
  </si>
  <si>
    <t>2026-06-11 09:04:01.985635+00</t>
  </si>
  <si>
    <t>2026-06-11 09:04:04.315475+00</t>
  </si>
  <si>
    <t>2026-06-11 09:04:09.6346+00</t>
  </si>
  <si>
    <t>2026-06-11 09:04:06.987663+00</t>
  </si>
  <si>
    <t>2026-06-11 09:04:12.300204+00</t>
  </si>
  <si>
    <t>2026-06-11 09:04:14.988395+00</t>
  </si>
  <si>
    <t>2026-06-11 09:04:18.505729+00</t>
  </si>
  <si>
    <t>2026-06-11 09:04:23.976731+00</t>
  </si>
  <si>
    <t>2026-06-11 09:04:32.370156+00</t>
  </si>
  <si>
    <t>2026-06-11 09:04:34.429807+00</t>
  </si>
  <si>
    <t>2026-06-11 09:04:38.080295+00</t>
  </si>
  <si>
    <t>2026-06-11 09:04:40.986212+00</t>
  </si>
  <si>
    <t>2026-06-11 09:04:43.290153+00</t>
  </si>
  <si>
    <t>2026-06-11 09:04:48.492978+00</t>
  </si>
  <si>
    <t>2026-06-11 09:09:06.549683+00</t>
  </si>
  <si>
    <t>2026-06-11 09:09:09.181895+00</t>
  </si>
  <si>
    <t>2026-06-11 09:09:29.131646+00</t>
  </si>
  <si>
    <t>2026-06-11 09:09:31.644797+00</t>
  </si>
  <si>
    <t>2026-06-11 07:49:43.658008+00</t>
  </si>
  <si>
    <t>2026-06-11 07:49:47.654749+00</t>
  </si>
  <si>
    <t>2026-06-11 07:49:52.576346+00</t>
  </si>
  <si>
    <t>2026-06-11 07:49:55.63106+00</t>
  </si>
  <si>
    <t>2026-06-11 07:49:58.532549+00</t>
  </si>
  <si>
    <t>2026-06-11 07:50:00.691222+00</t>
  </si>
  <si>
    <t>2026-06-11 07:50:06.264647+00</t>
  </si>
  <si>
    <t>2026-06-11 07:50:35.25243+00</t>
  </si>
  <si>
    <t>2026-06-11 07:50:39.334989+00</t>
  </si>
  <si>
    <t>2026-06-11 07:50:41.679964+00</t>
  </si>
  <si>
    <t>2026-06-11 07:47:23.388274+00</t>
  </si>
  <si>
    <t>2026-06-11 07:47:34.772576+00</t>
  </si>
  <si>
    <t>2026-06-11 07:47:42.257349+00</t>
  </si>
  <si>
    <t>2026-06-11 07:47:49.29339+00</t>
  </si>
  <si>
    <t>2026-06-11 07:47:53.363478+00</t>
  </si>
  <si>
    <t>2026-06-11 07:47:57.021725+00</t>
  </si>
  <si>
    <t>2026-06-11 07:48:02.851341+00</t>
  </si>
  <si>
    <t>2026-06-11 07:48:18.705252+00</t>
  </si>
  <si>
    <t>2026-06-11 07:48:24.680381+00</t>
  </si>
  <si>
    <t>2026-06-11 07:48:27.664367+00</t>
  </si>
  <si>
    <t>2026-06-11 07:48:31.015148+00</t>
  </si>
  <si>
    <t>2026-06-11 07:48:34.317407+00</t>
  </si>
  <si>
    <t>2026-06-11 07:48:45.558866+00</t>
  </si>
  <si>
    <t>2026-06-11 07:48:49.069996+00</t>
  </si>
  <si>
    <t>2026-06-11 07:48:51.284123+00</t>
  </si>
  <si>
    <t>2026-06-11 07:48:59.568692+00</t>
  </si>
  <si>
    <t>2026-06-11 07:49:16.75619+00</t>
  </si>
  <si>
    <t>2026-06-11 07:49:19.863106+00</t>
  </si>
  <si>
    <t>2026-06-11 07:49:24.166013+00</t>
  </si>
  <si>
    <t>2026-06-11 07:49:27.571913+00</t>
  </si>
  <si>
    <t>2026-06-11 07:49:33.340689+00</t>
  </si>
  <si>
    <t>2026-06-11 07:49:37.249101+00</t>
  </si>
  <si>
    <t>2026-06-11 07:50:45.876355+00</t>
  </si>
  <si>
    <t>2026-06-11 07:50:48.494314+00</t>
  </si>
  <si>
    <t>2026-06-11 07:50:51.840136+00</t>
  </si>
  <si>
    <t>2026-06-11 07:50:54.170975+00</t>
  </si>
  <si>
    <t>2026-06-07 16:37:45.926727+00</t>
  </si>
  <si>
    <t>2026-06-07 16:38:05.735326+00</t>
  </si>
  <si>
    <t>2026-06-07 16:38:10.116855+00</t>
  </si>
  <si>
    <t>2026-06-07 16:38:16.270731+00</t>
  </si>
  <si>
    <t>2026-06-07 16:38:19.245338+00</t>
  </si>
  <si>
    <t>2026-06-07 16:38:21.478698+00</t>
  </si>
  <si>
    <t>2026-06-07 16:38:29.497426+00</t>
  </si>
  <si>
    <t>2026-06-07 16:38:31.981545+00</t>
  </si>
  <si>
    <t>2026-06-07 16:38:36.376659+00</t>
  </si>
  <si>
    <t>2026-06-07 16:38:37.444573+00</t>
  </si>
  <si>
    <t>2026-06-07 16:36:35.764601+00</t>
  </si>
  <si>
    <t>2026-06-07 16:36:38.264428+00</t>
  </si>
  <si>
    <t>2026-06-07 16:36:42.025486+00</t>
  </si>
  <si>
    <t>2026-06-07 16:36:45.324175+00</t>
  </si>
  <si>
    <t>2026-06-07 16:36:47.655079+00</t>
  </si>
  <si>
    <t>2026-06-07 16:36:50.077636+00</t>
  </si>
  <si>
    <t>2026-06-07 16:36:52.372931+00</t>
  </si>
  <si>
    <t>2026-06-07 16:36:54.576712+00</t>
  </si>
  <si>
    <t>2026-06-07 16:37:13.106663+00</t>
  </si>
  <si>
    <t>2026-06-07 16:37:15.009052+00</t>
  </si>
  <si>
    <t>2026-06-07 16:37:18.99567+00</t>
  </si>
  <si>
    <t>2026-06-07 16:37:21.009733+00</t>
  </si>
  <si>
    <t>2026-06-07 16:37:24.133415+00</t>
  </si>
  <si>
    <t>2026-06-07 16:37:25.697822+00</t>
  </si>
  <si>
    <t>2026-06-07 16:37:28.190361+00</t>
  </si>
  <si>
    <t>2026-06-07 16:37:34.27055+00</t>
  </si>
  <si>
    <t>2026-06-07 16:37:38.762207+00</t>
  </si>
  <si>
    <t>2026-06-07 16:37:51.207651+00</t>
  </si>
  <si>
    <t>2026-06-07 16:37:41.182596+00</t>
  </si>
  <si>
    <t>2026-06-07 16:37:55.029078+00</t>
  </si>
  <si>
    <t>2026-06-07 16:37:43.41413+00</t>
  </si>
  <si>
    <t>2026-06-07 16:38:03.00969+00</t>
  </si>
  <si>
    <t>2026-06-07 16:38:39.780175+00</t>
  </si>
  <si>
    <t>2026-06-07 16:38:40.947881+00</t>
  </si>
  <si>
    <t>2026-06-07 16:38:43.139985+00</t>
  </si>
  <si>
    <t>2026-06-07 16:38:44.647313+00</t>
  </si>
  <si>
    <t>2026-06-11 12:48:42.200389+00</t>
  </si>
  <si>
    <t>2026-06-11 12:48:44.02863+00</t>
  </si>
  <si>
    <t>2026-06-11 12:48:47.90244+00</t>
  </si>
  <si>
    <t>2026-06-11 12:48:53.369884+00</t>
  </si>
  <si>
    <t>2026-06-11 12:48:55.141376+00</t>
  </si>
  <si>
    <t>2026-06-11 12:48:58.335851+00</t>
  </si>
  <si>
    <t>2026-06-11 12:49:10.474807+00</t>
  </si>
  <si>
    <t>2026-06-11 12:49:11.967456+00</t>
  </si>
  <si>
    <t>2026-06-11 12:49:31.291037+00</t>
  </si>
  <si>
    <t>2026-06-11 12:49:34.851902+00</t>
  </si>
  <si>
    <t>2026-06-11 12:46:40.371214+00</t>
  </si>
  <si>
    <t>2026-06-11 12:46:42.635199+00</t>
  </si>
  <si>
    <t>2026-06-11 12:47:16.785294+00</t>
  </si>
  <si>
    <t>2026-06-11 12:47:33.690751+00</t>
  </si>
  <si>
    <t>2026-06-11 12:47:37.948739+00</t>
  </si>
  <si>
    <t>2026-06-11 12:47:41.873532+00</t>
  </si>
  <si>
    <t>2026-06-11 12:47:48.541332+00</t>
  </si>
  <si>
    <t>2026-06-11 12:47:50.352937+00</t>
  </si>
  <si>
    <t>2026-06-11 12:47:54.942961+00</t>
  </si>
  <si>
    <t>2026-06-11 12:47:56.65793+00</t>
  </si>
  <si>
    <t>2026-06-11 12:48:00.310845+00</t>
  </si>
  <si>
    <t>2026-06-11 12:48:02.080435+00</t>
  </si>
  <si>
    <t>2026-06-11 12:48:04.557892+00</t>
  </si>
  <si>
    <t>2026-06-11 12:48:06.148278+00</t>
  </si>
  <si>
    <t>2026-06-11 12:48:07.789063+00</t>
  </si>
  <si>
    <t>2026-06-11 12:48:10.384729+00</t>
  </si>
  <si>
    <t>2026-06-11 12:48:14.01833+00</t>
  </si>
  <si>
    <t>2026-06-11 12:48:16.861295+00</t>
  </si>
  <si>
    <t>2026-06-11 12:48:19.391502+00</t>
  </si>
  <si>
    <t>2026-06-11 12:48:23.318377+00</t>
  </si>
  <si>
    <t>2026-06-11 12:48:29.479275+00</t>
  </si>
  <si>
    <t>2026-06-11 12:48:36.311464+00</t>
  </si>
  <si>
    <t>2026-06-11 12:49:40.871962+00</t>
  </si>
  <si>
    <t>2026-06-11 12:49:42.876736+00</t>
  </si>
  <si>
    <t>2026-06-11 12:49:47.491899+00</t>
  </si>
  <si>
    <t>2026-06-11 12:49:51.186364+00</t>
  </si>
  <si>
    <t>2026-06-06 21:39:20.121641+00</t>
  </si>
  <si>
    <t>2026-06-06 21:39:21.81516+00</t>
  </si>
  <si>
    <t>2026-06-06 21:39:35.315127+00</t>
  </si>
  <si>
    <t>2026-06-06 21:39:37.623692+00</t>
  </si>
  <si>
    <t>2026-06-06 21:39:39.977324+00</t>
  </si>
  <si>
    <t>2026-06-06 21:39:47.56205+00</t>
  </si>
  <si>
    <t>2026-06-06 21:39:53.911674+00</t>
  </si>
  <si>
    <t>2026-06-06 21:39:59.094762+00</t>
  </si>
  <si>
    <t>2026-06-06 21:40:01.632179+00</t>
  </si>
  <si>
    <t>2026-06-06 21:40:02.865212+00</t>
  </si>
  <si>
    <t>2026-06-06 21:33:33.801313+00</t>
  </si>
  <si>
    <t>2026-06-06 21:33:45.307477+00</t>
  </si>
  <si>
    <t>2026-06-06 21:33:50.416021+00</t>
  </si>
  <si>
    <t>2026-06-06 21:33:53.493985+00</t>
  </si>
  <si>
    <t>2026-06-06 21:33:55.342819+00</t>
  </si>
  <si>
    <t>2026-06-06 21:34:13.062532+00</t>
  </si>
  <si>
    <t>2026-06-06 21:34:16.86034+00</t>
  </si>
  <si>
    <t>2026-06-06 21:34:18.500593+00</t>
  </si>
  <si>
    <t>2026-06-06 21:34:20.575103+00</t>
  </si>
  <si>
    <t>2026-06-06 21:34:27.344559+00</t>
  </si>
  <si>
    <t>2026-06-06 21:34:31.359703+00</t>
  </si>
  <si>
    <t>2026-06-06 21:34:36.623139+00</t>
  </si>
  <si>
    <t>2026-06-06 21:34:39.230275+00</t>
  </si>
  <si>
    <t>2026-06-06 21:34:40.609212+00</t>
  </si>
  <si>
    <t>2026-06-06 21:34:43.231377+00</t>
  </si>
  <si>
    <t>2026-06-06 21:34:46.043307+00</t>
  </si>
  <si>
    <t>2026-06-06 21:37:55.832105+00</t>
  </si>
  <si>
    <t>2026-06-06 21:38:03.972118+00</t>
  </si>
  <si>
    <t>2026-06-06 21:39:04.995371+00</t>
  </si>
  <si>
    <t>2026-06-06 21:38:58.872224+00</t>
  </si>
  <si>
    <t>2026-06-06 21:39:15.898923+00</t>
  </si>
  <si>
    <t>2026-06-06 21:39:17.480194+00</t>
  </si>
  <si>
    <t>2026-06-06 21:40:31.465216+00</t>
  </si>
  <si>
    <t>2026-06-06 21:40:32.561407+00</t>
  </si>
  <si>
    <t>2026-06-06 21:40:36.247793+00</t>
  </si>
  <si>
    <t>2026-06-06 21:40:37.440162+00</t>
  </si>
  <si>
    <t>group_stage</t>
  </si>
  <si>
    <t>posicion</t>
  </si>
  <si>
    <t>equipo</t>
  </si>
  <si>
    <t>pts</t>
  </si>
  <si>
    <t>gd</t>
  </si>
  <si>
    <t>gf</t>
  </si>
  <si>
    <t>tipo</t>
  </si>
  <si>
    <t>CLASIFICADO</t>
  </si>
  <si>
    <t>★  AESCOBARA  —  32 Selecciones</t>
  </si>
  <si>
    <t>★  DAMI  —  32 Selecciones</t>
  </si>
  <si>
    <t>★  DAVID  —  32 Selecciones</t>
  </si>
  <si>
    <t>★  F3ROMONAS  —  32 Selecciones</t>
  </si>
  <si>
    <t>★  GUILLERMO  —  32 Selecciones</t>
  </si>
  <si>
    <t>★  JMONSALV  —  32 Selecciones</t>
  </si>
  <si>
    <t>★  JTORRESM —  32 Selecciones</t>
  </si>
  <si>
    <t>★  MIKE —  32 Selecciones</t>
  </si>
  <si>
    <t>★  SERGICM —  32 Selecciones</t>
  </si>
  <si>
    <t>★  TIBURON ROCA —  32 Selecciones</t>
  </si>
  <si>
    <t>MEJOR TERCERO</t>
  </si>
  <si>
    <t>★  AESCOBARA</t>
  </si>
  <si>
    <t>★  DAMI</t>
  </si>
  <si>
    <t>★  DAVID</t>
  </si>
  <si>
    <t>★ F3ROMONAS</t>
  </si>
  <si>
    <t>★ GUILLERMO</t>
  </si>
  <si>
    <t>★ JMONSALV</t>
  </si>
  <si>
    <t>★ JTORRESM</t>
  </si>
  <si>
    <t>★ MIKE</t>
  </si>
  <si>
    <t>★ SERGICM</t>
  </si>
  <si>
    <t>★ TIBURON ROCA</t>
  </si>
  <si>
    <t>id</t>
  </si>
  <si>
    <t>home_team</t>
  </si>
  <si>
    <t>away_team</t>
  </si>
  <si>
    <t>match_date</t>
  </si>
  <si>
    <t>home_score</t>
  </si>
  <si>
    <t>away_score</t>
  </si>
  <si>
    <t>is_finished</t>
  </si>
  <si>
    <t>508fde42-0d95-4deb-bb06-ffe8ed2063df</t>
  </si>
  <si>
    <t>2026-06-11 19:00:00+00</t>
  </si>
  <si>
    <t>true</t>
  </si>
  <si>
    <t>9a59f9b3-7047-4415-965f-60027d2b2f14</t>
  </si>
  <si>
    <t>2026-06-12 02:00:00+00</t>
  </si>
  <si>
    <t>786a6f9c-ec56-4cd6-8b44-8f0eed147c2b</t>
  </si>
  <si>
    <t>2026-06-12 19:00:00+00</t>
  </si>
  <si>
    <t>d15b86b6-8131-4eed-9d08-f9941aaab68f</t>
  </si>
  <si>
    <t>2026-06-13 01:00:00+00</t>
  </si>
  <si>
    <t>a966c60d-7b80-48d7-aaec-e45f740da490</t>
  </si>
  <si>
    <t>2026-06-13 19:00:00+00</t>
  </si>
  <si>
    <t>6c0c01c5-d0b5-48a7-8066-7c03e4c9935b</t>
  </si>
  <si>
    <t>2026-06-13 22:00:00+00</t>
  </si>
  <si>
    <t>0d0fecb5-49d5-4ade-893a-c03326a6ed99</t>
  </si>
  <si>
    <t>2026-06-14 03:00:00+00</t>
  </si>
  <si>
    <t>9562e7fe-3cc2-468b-8581-dfde5a600be4</t>
  </si>
  <si>
    <t>2026-06-14 06:00:00+00</t>
  </si>
  <si>
    <t>5deeae7a-b706-418b-99d7-042ef9ca05e5</t>
  </si>
  <si>
    <t>2026-06-14 19:00:00+00</t>
  </si>
  <si>
    <t>0d203b18-162c-4ca1-be32-6bc80bde86a7</t>
  </si>
  <si>
    <t>2026-06-14 22:00:00+00</t>
  </si>
  <si>
    <t>b7a93904-fd26-43c7-bcf8-1b43f7f69e29</t>
  </si>
  <si>
    <t>2026-06-15 01:00:00+00</t>
  </si>
  <si>
    <t>41eb4eda-5a5f-43cf-bf68-771e0a04b8bd</t>
  </si>
  <si>
    <t>2026-06-15 04:00:00+00</t>
  </si>
  <si>
    <t>71fb781e-9423-4cb2-8fa6-e456891f4dd0</t>
  </si>
  <si>
    <t>2026-06-15 18:00:00+00</t>
  </si>
  <si>
    <t>bf9613bc-f036-4652-ab93-21c91530923c</t>
  </si>
  <si>
    <t>2026-06-15 21:00:00+00</t>
  </si>
  <si>
    <t>e7b11ce5-1ff6-4450-9e8b-a258e2914da8</t>
  </si>
  <si>
    <t>2026-06-16 00:00:00+00</t>
  </si>
  <si>
    <t>dbeb96c6-4665-4eeb-8499-ada95f16bbfa</t>
  </si>
  <si>
    <t>2026-06-16 03:00:00+00</t>
  </si>
  <si>
    <t>b7f6d474-f726-4262-b6d7-4bc508a7db15</t>
  </si>
  <si>
    <t>2026-06-16 21:00:00+00</t>
  </si>
  <si>
    <t>f0de8a1b-10dc-46ed-bb46-f6efb3a6702e</t>
  </si>
  <si>
    <t>2026-06-16 22:00:00+00</t>
  </si>
  <si>
    <t>0027294b-12d0-4a6e-9b53-4a47e2071fed</t>
  </si>
  <si>
    <t>2026-06-17 01:00:00+00</t>
  </si>
  <si>
    <t>bdeb52d8-5d49-4838-aa89-c8357693027c</t>
  </si>
  <si>
    <t>2026-06-17 04:00:00+00</t>
  </si>
  <si>
    <t>ec069beb-1594-47dc-b27c-a8b17e1719d2</t>
  </si>
  <si>
    <t>2026-06-17 19:00:00+00</t>
  </si>
  <si>
    <t>e32f1f5b-0110-44db-99ad-2805a729620e</t>
  </si>
  <si>
    <t>2026-06-17 22:00:00+00</t>
  </si>
  <si>
    <t>08afcdc1-87e2-4c63-b036-b24dc2aa8670</t>
  </si>
  <si>
    <t>2026-06-18 01:00:00+00</t>
  </si>
  <si>
    <t>32af10c9-2218-4df9-b9c9-62c0faeed10c</t>
  </si>
  <si>
    <t>2026-06-18 04:00:00+00</t>
  </si>
  <si>
    <t>e2996d7b-aa35-4026-afc5-431b39778cf7</t>
  </si>
  <si>
    <t>2026-06-18 18:00:00+00</t>
  </si>
  <si>
    <t>3610d4a6-bf1d-4aae-b6d2-0389a62f60f7</t>
  </si>
  <si>
    <t>2026-06-18 19:00:00+00</t>
  </si>
  <si>
    <t>a5b9f3a5-db02-4928-b42b-6089971de035</t>
  </si>
  <si>
    <t>2026-06-18 22:00:00+00</t>
  </si>
  <si>
    <t>c2b2d3be-6331-4485-a20c-15e4416b29ad</t>
  </si>
  <si>
    <t>2026-06-19 01:00:00+00</t>
  </si>
  <si>
    <t>ff38edb5-1121-4d5f-816e-839bef8b7552</t>
  </si>
  <si>
    <t>2026-06-19 19:00:00+00</t>
  </si>
  <si>
    <t>0c34fceb-7c02-4f75-88a6-7d9fe78f6c92</t>
  </si>
  <si>
    <t>2026-06-19 22:00:00+00</t>
  </si>
  <si>
    <t>ff8b2b15-3e79-4d17-9c1e-9d9a357770de</t>
  </si>
  <si>
    <t>2026-06-20 00:30:00+00</t>
  </si>
  <si>
    <t>b310dadc-2e5f-4701-b000-086163ba2e61</t>
  </si>
  <si>
    <t>2026-06-20 03:00:00+00</t>
  </si>
  <si>
    <t>30c07d7b-5faa-4eb3-a4d3-4f23eb97ae2f</t>
  </si>
  <si>
    <t>2026-06-20 17:00:00+00</t>
  </si>
  <si>
    <t>null</t>
  </si>
  <si>
    <t>false</t>
  </si>
  <si>
    <t>9cb91eaf-97af-4d82-9ea5-210b74e02f7c</t>
  </si>
  <si>
    <t>2026-06-20 20:00:00+00</t>
  </si>
  <si>
    <t>d9dd698b-2dac-4f1a-a87c-d42050d156b7</t>
  </si>
  <si>
    <t>2026-06-21 00:00:00+00</t>
  </si>
  <si>
    <t>09f0c669-3d60-4407-b459-6210c0463200</t>
  </si>
  <si>
    <t>2026-06-21 04:00:00+00</t>
  </si>
  <si>
    <t>7cb14b94-9de0-49a3-8854-94322db18726</t>
  </si>
  <si>
    <t>2026-06-21 16:00:00+00</t>
  </si>
  <si>
    <t>e0af652c-e05d-43f9-bac2-70a0a299d3f0</t>
  </si>
  <si>
    <t>2026-06-21 19:00:00+00</t>
  </si>
  <si>
    <t>0e0695b2-2844-46ec-af3e-e1d1bde0429e</t>
  </si>
  <si>
    <t>2026-06-21 22:00:00+00</t>
  </si>
  <si>
    <t>407e7cc0-db8c-4020-9360-18bb937aa80d</t>
  </si>
  <si>
    <t>2026-06-22 01:00:00+00</t>
  </si>
  <si>
    <t>26e0545b-c2be-4b21-93db-34e93376f026</t>
  </si>
  <si>
    <t>2026-06-22 17:00:00+00</t>
  </si>
  <si>
    <t>62973309-17ab-43e6-b136-e9a53b5d89e3</t>
  </si>
  <si>
    <t>2026-06-22 21:00:00+00</t>
  </si>
  <si>
    <t>2e15ed3f-0693-4a42-ac69-75adc8c069b4</t>
  </si>
  <si>
    <t>2026-06-23 00:00:00+00</t>
  </si>
  <si>
    <t>eaeffb94-92d4-40e7-925f-c6def9c3309a</t>
  </si>
  <si>
    <t>2026-06-23 03:00:00+00</t>
  </si>
  <si>
    <t>44d8708a-6943-44fe-aa40-0e82da6d85e5</t>
  </si>
  <si>
    <t>2026-06-23 17:00:00+00</t>
  </si>
  <si>
    <t>78218125-acad-4a76-b0f4-9db0ece7c3c7</t>
  </si>
  <si>
    <t>2026-06-23 20:00:00+00</t>
  </si>
  <si>
    <t>04e5c376-8f4e-4e97-ba29-48a78d62a83b</t>
  </si>
  <si>
    <t>2026-06-23 23:00:00+00</t>
  </si>
  <si>
    <t>5cc28bc4-afe1-4f2b-943b-52e5c7a9bd97</t>
  </si>
  <si>
    <t>2026-06-24 02:00:00+00</t>
  </si>
  <si>
    <t>f274a3bc-165f-4d67-9484-34b83681d844</t>
  </si>
  <si>
    <t>2026-06-24 19:00:00+00</t>
  </si>
  <si>
    <t>a6a6245c-601f-484b-a381-7e7623fe648d</t>
  </si>
  <si>
    <t>3842d6ce-2774-4599-b099-2f48b40e7810</t>
  </si>
  <si>
    <t>2026-06-24 22:00:00+00</t>
  </si>
  <si>
    <t>e8cdced1-61ad-47e9-8af6-bdacb05214a9</t>
  </si>
  <si>
    <t>35c8fde1-3470-446b-aa25-41eefa0d9a85</t>
  </si>
  <si>
    <t>2026-06-25 01:00:00+00</t>
  </si>
  <si>
    <t>4d807998-b338-414f-bcbb-cce1497ded16</t>
  </si>
  <si>
    <t>012930f4-468c-42b7-944c-74ac50c957f1</t>
  </si>
  <si>
    <t>2026-06-25 20:00:00+00</t>
  </si>
  <si>
    <t>83a9a7a8-66df-4e08-b5d3-30315e8ad5ce</t>
  </si>
  <si>
    <t>3c6d2e2b-90bc-4ba5-adec-f383abb3e03f</t>
  </si>
  <si>
    <t>2026-06-25 23:00:00+00</t>
  </si>
  <si>
    <t>37f0bfe4-a5e3-49d4-9db3-bc09f782cc94</t>
  </si>
  <si>
    <t>94e3ccc0-6d65-40cb-a8fb-52d07cb7f65f</t>
  </si>
  <si>
    <t>2026-06-26 02:00:00+00</t>
  </si>
  <si>
    <t>66d4c18d-47c1-467c-affd-df0a47a6d7a1</t>
  </si>
  <si>
    <t>e57096b6-4351-4e9b-b778-aa05e39de680</t>
  </si>
  <si>
    <t>2026-06-26 19:00:00+00</t>
  </si>
  <si>
    <t>adad64ae-92bf-40fe-9c7a-e50a172ce878</t>
  </si>
  <si>
    <t>e6a0d498-3462-4da1-ad62-f5a4f28e592b</t>
  </si>
  <si>
    <t>2026-06-27 00:00:00+00</t>
  </si>
  <si>
    <t>31853210-0da7-4746-8c1f-7b767666efaf</t>
  </si>
  <si>
    <t>3394f430-125d-40c2-9f0a-035d82fec34c</t>
  </si>
  <si>
    <t>2026-06-27 03:00:00+00</t>
  </si>
  <si>
    <t>d9dc8e00-f34a-4d72-9c38-6c7a2eee1595</t>
  </si>
  <si>
    <t>943cf7cd-43ad-4013-babc-3107819ffffd</t>
  </si>
  <si>
    <t>2026-06-27 21:00:00+00</t>
  </si>
  <si>
    <t>a0dfcf27-3d16-4daf-aedd-e18492972408</t>
  </si>
  <si>
    <t>c7079c03-8a28-497a-aff5-24db0f29cd1e</t>
  </si>
  <si>
    <t>2026-06-27 23:30:00+00</t>
  </si>
  <si>
    <t>d9fb71b6-5fff-4e93-a627-6476f953feb3</t>
  </si>
  <si>
    <t>6a93e346-d05d-4f0a-99e2-44659705424f</t>
  </si>
  <si>
    <t>2026-06-28 02:00:00+00</t>
  </si>
  <si>
    <t>9e7260c6-f6f7-4f3b-b3c2-aad3fd15d45b</t>
  </si>
  <si>
    <t>b818e642-85e4-4586-a98a-c2286f70ef5d</t>
  </si>
  <si>
    <t>ROUND 32</t>
  </si>
  <si>
    <t>2026-06-28 21:00:00+00</t>
  </si>
  <si>
    <t>0e641f18-550d-4840-84c7-3307cc6f4b23</t>
  </si>
  <si>
    <t>2026-06-29 19:00:00+00</t>
  </si>
  <si>
    <t>bd223b1d-05a1-469c-826e-ac1f54c9c421</t>
  </si>
  <si>
    <t>2026-06-29 22:30:00+00</t>
  </si>
  <si>
    <t>2cb3d19e-e2a5-44fe-977f-00804f7ad158</t>
  </si>
  <si>
    <t>2026-06-30 03:00:00+00</t>
  </si>
  <si>
    <t>9bf3844d-127a-428e-9159-5f35d5146f52</t>
  </si>
  <si>
    <t>2026-06-30 19:00:00+00</t>
  </si>
  <si>
    <t>fb912c32-ecd9-498e-8111-450cd5094489</t>
  </si>
  <si>
    <t>2026-06-30 23:00:00+00</t>
  </si>
  <si>
    <t>12bd518b-b668-40b9-b4a9-4219a5030a5e</t>
  </si>
  <si>
    <t>2026-07-01 03:00:00+00</t>
  </si>
  <si>
    <t>a96afa81-6588-4066-aeb2-e41826fa0502</t>
  </si>
  <si>
    <t>2026-07-01 18:00:00+00</t>
  </si>
  <si>
    <t>7837ebbb-e2e7-4bed-ba71-1f62c57eec79</t>
  </si>
  <si>
    <t>2026-07-01 22:00:00+00</t>
  </si>
  <si>
    <t>f2e13139-7a79-4384-a65e-9e98981a1cc0</t>
  </si>
  <si>
    <t>2026-07-02 02:00:00+00</t>
  </si>
  <si>
    <t>81474e30-9d99-4767-b3af-bd0ddb543f33</t>
  </si>
  <si>
    <t>2026-07-02 21:00:00+00</t>
  </si>
  <si>
    <t>2cce7477-a907-4521-8723-d4b4b62961dc</t>
  </si>
  <si>
    <t>2026-07-03 01:00:00+00</t>
  </si>
  <si>
    <t>b4468a0e-9b2c-4f70-bc08-fff8de546bf6</t>
  </si>
  <si>
    <t>2026-07-03 05:00:00+00</t>
  </si>
  <si>
    <t>eb9fa613-23cd-4a51-b2b7-43cb97673eb4</t>
  </si>
  <si>
    <t>2026-07-03 20:00:00+00</t>
  </si>
  <si>
    <t>f2f7fd20-b933-414c-9213-a17c5e5f551d</t>
  </si>
  <si>
    <t>2026-07-04 00:00:00+00</t>
  </si>
  <si>
    <t>8ac71b56-90e3-4ab3-8498-dfb29a7355ae</t>
  </si>
  <si>
    <t>2026-07-04 03:30:00+00</t>
  </si>
  <si>
    <t>e429e304-3bc6-4942-8828-8a79e9695d4d</t>
  </si>
  <si>
    <t>ROUND 16</t>
  </si>
  <si>
    <t>2026-07-04 19:00:00+00</t>
  </si>
  <si>
    <t>39f97420-18ae-4c94-b49f-39c3b07c234b</t>
  </si>
  <si>
    <t>2026-07-04 23:00:00+00</t>
  </si>
  <si>
    <t>63bfb634-e27e-45a9-90db-b8af54449d4d</t>
  </si>
  <si>
    <t>2026-07-05 22:00:00+00</t>
  </si>
  <si>
    <t>9dbe711f-2a74-41ad-9bfa-c63e08b412c4</t>
  </si>
  <si>
    <t>2026-07-06 02:00:00+00</t>
  </si>
  <si>
    <t>a9134a75-be42-421e-b6ce-a6d52fc2d6cb</t>
  </si>
  <si>
    <t>2026-07-06 21:00:00+00</t>
  </si>
  <si>
    <t>77a1acae-0ed0-48b0-8974-5ef249acbe87</t>
  </si>
  <si>
    <t>2026-07-07 02:00:00+00</t>
  </si>
  <si>
    <t>82bb6799-63b8-4ccb-973b-b5118b626c1f</t>
  </si>
  <si>
    <t>2026-07-07 18:00:00+00</t>
  </si>
  <si>
    <t>291b1f1b-8ce2-44ae-b4aa-9e4bf8a4a026</t>
  </si>
  <si>
    <t>2026-07-07 22:00:00+00</t>
  </si>
  <si>
    <t>892d279e-7cb3-4b52-9359-55edfd953680</t>
  </si>
  <si>
    <t>QUARTER-FINAL</t>
  </si>
  <si>
    <t>2026-07-09 22:00:00+00</t>
  </si>
  <si>
    <t>ae55924b-7de7-4fce-bb49-84fe3bb1942e</t>
  </si>
  <si>
    <t>2026-07-10 21:00:00+00</t>
  </si>
  <si>
    <t>3abb285f-ee5b-4c36-9325-373b28baa1d8</t>
  </si>
  <si>
    <t>2026-07-11 23:00:00+00</t>
  </si>
  <si>
    <t>5ebbd0f4-e4b9-4219-becc-90f25af1c707</t>
  </si>
  <si>
    <t>2026-07-12 03:00:00+00</t>
  </si>
  <si>
    <t>a26d694b-eade-4961-a35e-b14a1c96ca0f</t>
  </si>
  <si>
    <t>SEMI-FINAL</t>
  </si>
  <si>
    <t>2026-07-14 21:00:00+00</t>
  </si>
  <si>
    <t>32326041-a12a-456e-b8df-dec4a93b5243</t>
  </si>
  <si>
    <t>2026-07-15 21:00:00+00</t>
  </si>
  <si>
    <t>8f2dc7fb-f6b9-4cac-9c08-aec4df456126</t>
  </si>
  <si>
    <t>3RD PLACE</t>
  </si>
  <si>
    <t>2026-07-18 23:00:00+00</t>
  </si>
  <si>
    <t>83a756b2-fcef-4dfa-af7c-64179458a277</t>
  </si>
  <si>
    <t>FINAL</t>
  </si>
  <si>
    <t>2026-07-19 21:00:00+00</t>
  </si>
  <si>
    <t>prediction_home</t>
  </si>
  <si>
    <t>prediction_away</t>
  </si>
  <si>
    <t>2026-06-09 13:26:08.542963+00</t>
  </si>
  <si>
    <t>2026-06-09 13:27:38.14446+00</t>
  </si>
  <si>
    <t>2026-06-09 14:28:47.66349+00</t>
  </si>
  <si>
    <t>2026-06-09 13:29:29.786122+00</t>
  </si>
  <si>
    <t>2026-06-09 14:30:17.700381+00</t>
  </si>
  <si>
    <t>2026-06-09 16:49:39.834349+00</t>
  </si>
  <si>
    <t>2026-06-09 16:52:06.198951+00</t>
  </si>
  <si>
    <t>2026-06-09 16:51:02.137578+00</t>
  </si>
  <si>
    <t>2026-06-09 16:54:26.489445+00</t>
  </si>
  <si>
    <t>2026-06-09 16:55:51.80026+00</t>
  </si>
  <si>
    <t>2026-06-09 16:57:08.857682+00</t>
  </si>
  <si>
    <t>2026-06-09 16:58:17.316418+00</t>
  </si>
  <si>
    <t>2026-06-05 16:53:17.199992+00</t>
  </si>
  <si>
    <t>2026-06-05 16:54:13.451757+00</t>
  </si>
  <si>
    <t>2026-06-05 16:55:37.145435+00</t>
  </si>
  <si>
    <t>2026-06-05 16:54:55.874568+00</t>
  </si>
  <si>
    <t>2026-06-05 16:56:12.817288+00</t>
  </si>
  <si>
    <t>2026-06-05 16:56:47.650995+00</t>
  </si>
  <si>
    <t>2026-06-05 16:58:28.560498+00</t>
  </si>
  <si>
    <t>2026-06-05 16:57:50.54609+00</t>
  </si>
  <si>
    <t>2026-06-05 16:59:09.815757+00</t>
  </si>
  <si>
    <t>2026-06-05 16:59:43.856507+00</t>
  </si>
  <si>
    <t>2026-06-05 17:00:37.66384+00</t>
  </si>
  <si>
    <t>2026-06-05 17:01:17.112566+00</t>
  </si>
  <si>
    <t>Puntuación</t>
  </si>
  <si>
    <t>TOTAL</t>
  </si>
  <si>
    <t>TOTAL PUNTOS</t>
  </si>
  <si>
    <t>2026-06-08 18:57:29.21685+00</t>
  </si>
  <si>
    <t>2026-06-08 19:03:16.517508+00</t>
  </si>
  <si>
    <t>2026-06-08 19:06:46.850574+00</t>
  </si>
  <si>
    <t>2026-06-08 19:05:38.954804+00</t>
  </si>
  <si>
    <t>2026-06-08 19:09:27.561013+00</t>
  </si>
  <si>
    <t>2026-06-08 19:10:52.164185+00</t>
  </si>
  <si>
    <t>2026-06-08 19:16:05.369841+00</t>
  </si>
  <si>
    <t>2026-06-08 19:13:12.973288+00</t>
  </si>
  <si>
    <t>2026-06-08 19:17:44.544816+00</t>
  </si>
  <si>
    <t>2026-06-08 19:20:05.986944+00</t>
  </si>
  <si>
    <t>2026-06-08 19:24:26.373454+00</t>
  </si>
  <si>
    <t>2026-06-08 19:26:14.218246+00</t>
  </si>
  <si>
    <t>2026-06-11 18:50:37.162676+00</t>
  </si>
  <si>
    <t>2026-06-11 18:52:45.063291+00</t>
  </si>
  <si>
    <t>2026-06-11 18:55:50.429639+00</t>
  </si>
  <si>
    <t>2026-06-11 18:54:03.054396+00</t>
  </si>
  <si>
    <t>2026-06-11 18:57:09.021387+00</t>
  </si>
  <si>
    <t>2026-06-11 18:58:29.420728+00</t>
  </si>
  <si>
    <t>2026-06-11 19:01:30.564769+00</t>
  </si>
  <si>
    <t>2026-06-11 18:59:49.488948+00</t>
  </si>
  <si>
    <t>2026-06-11 19:02:44.356919+00</t>
  </si>
  <si>
    <t>2026-06-11 19:04:21.163075+00</t>
  </si>
  <si>
    <t>2026-06-11 19:05:42.698253+00</t>
  </si>
  <si>
    <t>2026-06-11 19:06:53.676748+00</t>
  </si>
  <si>
    <t>2026-06-11 18:35:16.472231+00</t>
  </si>
  <si>
    <t>2026-06-11 18:37:06.785362+00</t>
  </si>
  <si>
    <t>2026-06-11 18:42:10.000249+00</t>
  </si>
  <si>
    <t>2026-06-11 18:40:07.131748+00</t>
  </si>
  <si>
    <t>2026-06-11 18:44:20.270131+00</t>
  </si>
  <si>
    <t>2026-06-11 18:46:55.703919+00</t>
  </si>
  <si>
    <t>2026-06-11 18:51:07.75081+00</t>
  </si>
  <si>
    <t>2026-06-11 18:49:13.144993+00</t>
  </si>
  <si>
    <t>2026-06-11 18:52:24.564756+00</t>
  </si>
  <si>
    <t>2026-06-11 18:54:02.703056+00</t>
  </si>
  <si>
    <t>2026-06-11 18:55:27.407191+00</t>
  </si>
  <si>
    <t>2026-06-11 18:56:47.402442+00</t>
  </si>
  <si>
    <t>2026-06-11 08:49:41.281048+00</t>
  </si>
  <si>
    <t>2026-06-11 08:50:35.968574+00</t>
  </si>
  <si>
    <t>2026-06-11 08:52:20.274129+00</t>
  </si>
  <si>
    <t>2026-06-11 08:51:26.300133+00</t>
  </si>
  <si>
    <t>2026-06-11 08:53:06.052764+00</t>
  </si>
  <si>
    <t>2026-06-11 08:53:49.40281+00</t>
  </si>
  <si>
    <t>2026-06-11 08:55:13.196233+00</t>
  </si>
  <si>
    <t>2026-06-11 08:54:29.319386+00</t>
  </si>
  <si>
    <t>2026-06-11 08:55:55.896331+00</t>
  </si>
  <si>
    <t>2026-06-11 08:56:41.530228+00</t>
  </si>
  <si>
    <t>2026-06-11 08:57:17.933287+00</t>
  </si>
  <si>
    <t>2026-06-11 08:58:03.077742+00</t>
  </si>
  <si>
    <t>2026-06-11 07:21:44.093232+00</t>
  </si>
  <si>
    <t>2026-06-11 07:24:59.66334+00</t>
  </si>
  <si>
    <t>2026-06-11 07:28:48.614454+00</t>
  </si>
  <si>
    <t>2026-06-11 07:26:52.693074+00</t>
  </si>
  <si>
    <t>2026-06-11 07:30:49.752347+00</t>
  </si>
  <si>
    <t>2026-06-11 07:32:07.149856+00</t>
  </si>
  <si>
    <t>2026-06-11 07:34:46.448331+00</t>
  </si>
  <si>
    <t>2026-06-11 07:33:35.027952+00</t>
  </si>
  <si>
    <t>2026-06-11 07:36:41.013007+00</t>
  </si>
  <si>
    <t>2026-06-11 07:37:52.437975+00</t>
  </si>
  <si>
    <t>2026-06-11 07:38:55.928973+00</t>
  </si>
  <si>
    <t>2026-06-11 07:40:15.565185+00</t>
  </si>
  <si>
    <t>2026-06-07 16:15:58.333343+00</t>
  </si>
  <si>
    <t>2026-06-07 16:18:31.9596+00</t>
  </si>
  <si>
    <t>2026-06-07 16:25:25.60227+00</t>
  </si>
  <si>
    <t>2026-06-07 16:22:03.984183+00</t>
  </si>
  <si>
    <t>2026-06-07 16:26:54.461761+00</t>
  </si>
  <si>
    <t>2026-06-07 16:29:50.112057+00</t>
  </si>
  <si>
    <t>2026-06-07 16:31:28.73488+00</t>
  </si>
  <si>
    <t>2026-06-07 16:30:41.673717+00</t>
  </si>
  <si>
    <t>2026-06-07 16:32:24.85008+00</t>
  </si>
  <si>
    <t>2026-06-07 16:33:04.65055+00</t>
  </si>
  <si>
    <t>2026-06-07 16:34:01.397535+00</t>
  </si>
  <si>
    <t>2026-06-07 16:34:58.921244+00</t>
  </si>
  <si>
    <t>2026-06-06 16:10:23.174382+00</t>
  </si>
  <si>
    <t>2026-06-06 16:13:23.775025+00</t>
  </si>
  <si>
    <t>2026-06-06 16:19:28.77397+00</t>
  </si>
  <si>
    <t>2026-06-07 07:13:55.498419+00</t>
  </si>
  <si>
    <t>2026-06-06 16:21:25.52539+00</t>
  </si>
  <si>
    <t>2026-06-06 16:26:01.383752+00</t>
  </si>
  <si>
    <t>2026-06-07 07:39:18.053692+00</t>
  </si>
  <si>
    <t>2026-06-07 07:38:37.158643+00</t>
  </si>
  <si>
    <t>2026-06-06 16:30:14.351542+00</t>
  </si>
  <si>
    <t>2026-06-06 16:30:42.479892+00</t>
  </si>
  <si>
    <t>2026-06-06 16:32:20.934464+00</t>
  </si>
  <si>
    <t>2026-06-07 07:40:03.722539+00</t>
  </si>
  <si>
    <t>2026-06-06 21:19:51.484695+00</t>
  </si>
  <si>
    <t>2026-06-06 21:21:24.659627+00</t>
  </si>
  <si>
    <t>2026-06-06 21:23:38.860829+00</t>
  </si>
  <si>
    <t>2026-06-06 21:22:04.175973+00</t>
  </si>
  <si>
    <t>2026-06-06 21:24:34.13172+00</t>
  </si>
  <si>
    <t>2026-06-06 21:25:56.540017+00</t>
  </si>
  <si>
    <t>2026-06-06 21:27:37.10877+00</t>
  </si>
  <si>
    <t>2026-06-06 21:26:34.698664+00</t>
  </si>
  <si>
    <t>2026-06-06 21:29:00.193157+00</t>
  </si>
  <si>
    <t>2026-06-06 21:29:46.630245+00</t>
  </si>
  <si>
    <t>2026-06-06 21:30:39.984966+00</t>
  </si>
  <si>
    <t>2026-06-06 21:31:58.579682+00</t>
  </si>
  <si>
    <t>Puntos</t>
  </si>
  <si>
    <t>EXTRAS</t>
  </si>
  <si>
    <t>Puntuación TOTAL</t>
  </si>
  <si>
    <t>NO PUNTUAN</t>
  </si>
  <si>
    <t>PODIUM</t>
  </si>
  <si>
    <t>Campeón del Mundo</t>
  </si>
  <si>
    <t>Subcampeón</t>
  </si>
  <si>
    <t>Tercer Puesto</t>
  </si>
  <si>
    <t>Cuarto puesto</t>
  </si>
  <si>
    <t>JUGADOR</t>
  </si>
  <si>
    <t>PUNTUACIÓN</t>
  </si>
  <si>
    <t>GOLES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</si>
</sst>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color rgb="FF000000"/>
      <name val="Arial"/>
    </font>
    <font>
      <b/>
      <sz val="11"/>
      <color theme="1"/>
      <name val="Calibri"/>
      <family val="2"/>
      <scheme val="minor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EAB308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DDDDDD"/>
      </right>
      <top style="medium">
        <color indexed="64"/>
      </top>
      <bottom style="medium">
        <color indexed="64"/>
      </bottom>
      <diagonal/>
    </border>
    <border>
      <left style="thin">
        <color rgb="FFDDDDDD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DDDDDD"/>
      </right>
      <top style="medium">
        <color indexed="64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medium">
        <color indexed="64"/>
      </top>
      <bottom style="thin">
        <color rgb="FFDDDDDD"/>
      </bottom>
      <diagonal/>
    </border>
    <border>
      <left style="thin">
        <color rgb="FFDDDDDD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11" fontId="0" fillId="0" borderId="0" xfId="0" applyNumberFormat="1"/>
    <xf numFmtId="0" fontId="1" fillId="2" borderId="3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4" borderId="0" xfId="0" applyFill="1"/>
    <xf numFmtId="0" fontId="0" fillId="0" borderId="5" xfId="0" applyBorder="1"/>
    <xf numFmtId="0" fontId="0" fillId="0" borderId="7" xfId="0" applyBorder="1"/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14" xfId="0" applyBorder="1"/>
    <xf numFmtId="0" fontId="2" fillId="3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0" fillId="0" borderId="6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62692-E6D6-4E80-B9E1-60F207F5C81E}">
  <dimension ref="B1:C12"/>
  <sheetViews>
    <sheetView tabSelected="1" workbookViewId="0">
      <selection activeCell="E17" sqref="E17"/>
    </sheetView>
  </sheetViews>
  <sheetFormatPr baseColWidth="10" defaultRowHeight="15" x14ac:dyDescent="0.25"/>
  <cols>
    <col min="2" max="2" width="14" customWidth="1"/>
    <col min="3" max="3" width="12.5703125" style="8" customWidth="1"/>
  </cols>
  <sheetData>
    <row r="1" spans="2:3" ht="15.75" thickBot="1" x14ac:dyDescent="0.3"/>
    <row r="2" spans="2:3" ht="15.75" thickBot="1" x14ac:dyDescent="0.3">
      <c r="B2" s="15" t="s">
        <v>893</v>
      </c>
      <c r="C2" s="16" t="s">
        <v>894</v>
      </c>
    </row>
    <row r="3" spans="2:3" x14ac:dyDescent="0.25">
      <c r="B3" s="13" t="str" cm="1">
        <f t="array" ref="B3:C12">_xlfn._xlws.SORT(_xlfn._xlws.FILTER(Puntuación_final!A2:C11, {1,0,1}), 2, -1)</f>
        <v>TIBURON ROCA</v>
      </c>
      <c r="C3" s="17">
        <v>35</v>
      </c>
    </row>
    <row r="4" spans="2:3" x14ac:dyDescent="0.25">
      <c r="B4" s="13" t="str">
        <v>F3ROMONAS</v>
      </c>
      <c r="C4" s="17">
        <v>30</v>
      </c>
    </row>
    <row r="5" spans="2:3" x14ac:dyDescent="0.25">
      <c r="B5" s="13" t="str">
        <v>GUILLERMO</v>
      </c>
      <c r="C5" s="17">
        <v>30</v>
      </c>
    </row>
    <row r="6" spans="2:3" x14ac:dyDescent="0.25">
      <c r="B6" s="13" t="str">
        <v>DAVID</v>
      </c>
      <c r="C6" s="17">
        <v>25</v>
      </c>
    </row>
    <row r="7" spans="2:3" x14ac:dyDescent="0.25">
      <c r="B7" s="13" t="str">
        <v>JTORRESM</v>
      </c>
      <c r="C7" s="17">
        <v>25</v>
      </c>
    </row>
    <row r="8" spans="2:3" x14ac:dyDescent="0.25">
      <c r="B8" s="13" t="str">
        <v>Mike</v>
      </c>
      <c r="C8" s="17">
        <v>25</v>
      </c>
    </row>
    <row r="9" spans="2:3" x14ac:dyDescent="0.25">
      <c r="B9" s="13" t="str">
        <v>AESCOBARA</v>
      </c>
      <c r="C9" s="17">
        <v>20</v>
      </c>
    </row>
    <row r="10" spans="2:3" x14ac:dyDescent="0.25">
      <c r="B10" s="13" t="str">
        <v>DAMI</v>
      </c>
      <c r="C10" s="17">
        <v>20</v>
      </c>
    </row>
    <row r="11" spans="2:3" x14ac:dyDescent="0.25">
      <c r="B11" s="13" t="str">
        <v>JMONSALV</v>
      </c>
      <c r="C11" s="17">
        <v>15</v>
      </c>
    </row>
    <row r="12" spans="2:3" ht="15.75" thickBot="1" x14ac:dyDescent="0.3">
      <c r="B12" s="14" t="str">
        <v>SERGICM</v>
      </c>
      <c r="C12" s="18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E8FD3-A3DF-4274-839C-8DE06DBC1813}">
  <dimension ref="A1:G11"/>
  <sheetViews>
    <sheetView workbookViewId="0">
      <selection activeCell="B21" sqref="B21"/>
    </sheetView>
  </sheetViews>
  <sheetFormatPr baseColWidth="10" defaultRowHeight="15" x14ac:dyDescent="0.25"/>
  <cols>
    <col min="1" max="1" width="14.140625" customWidth="1"/>
    <col min="2" max="2" width="36.5703125" customWidth="1"/>
    <col min="3" max="3" width="15.140625" customWidth="1"/>
    <col min="6" max="6" width="13.85546875" customWidth="1"/>
  </cols>
  <sheetData>
    <row r="1" spans="1:7" ht="15.75" thickBot="1" x14ac:dyDescent="0.3">
      <c r="A1" s="19" t="s">
        <v>80</v>
      </c>
      <c r="B1" s="20" t="s">
        <v>81</v>
      </c>
      <c r="C1" s="21" t="s">
        <v>787</v>
      </c>
      <c r="F1" s="19" t="s">
        <v>80</v>
      </c>
      <c r="G1" s="25" t="s">
        <v>895</v>
      </c>
    </row>
    <row r="2" spans="1:7" ht="15.75" thickBot="1" x14ac:dyDescent="0.3">
      <c r="A2" s="13" t="s">
        <v>1</v>
      </c>
      <c r="B2" t="s">
        <v>87</v>
      </c>
      <c r="C2" s="7">
        <f>SUM(Pronósticos_de_partidos!L3,Clasificación_de_grupos!J3,Pronósticos_extra!G2,De_16_hasta_el_pódium!F3)</f>
        <v>20</v>
      </c>
      <c r="F2" s="13" t="str" cm="1">
        <f t="array" ref="F2:F11">_xlfn._xlws.SORT(_xlfn.UNIQUE(_xlfn._xlws.FILTER(Aciertos!A2:A1048576, Aciertos!A2:A1048576&lt;&gt;"")))</f>
        <v>AESCOBARA</v>
      </c>
      <c r="G2" s="26" cm="1">
        <f t="array" ref="G2:G11">SUMIF(Aciertos!$A$2:$A$1048576,_xlfn.ANCHORARRAY( F2), Aciertos!$G$2:$G$1048576) + SUMIF(Aciertos!$A$2:$A$1048576,_xlfn.ANCHORARRAY( F2), Aciertos!$H$2:$H$1048576)</f>
        <v>12</v>
      </c>
    </row>
    <row r="3" spans="1:7" ht="15.75" thickBot="1" x14ac:dyDescent="0.3">
      <c r="A3" s="13" t="s">
        <v>63</v>
      </c>
      <c r="B3" t="s">
        <v>89</v>
      </c>
      <c r="C3" s="7">
        <f>SUM(Pronósticos_de_partidos!L77,Clasificación_de_grupos!J37,Pronósticos_extra!G3,De_16_hasta_el_pódium!F45)</f>
        <v>20</v>
      </c>
      <c r="F3" s="13" t="str">
        <v>DAMI</v>
      </c>
      <c r="G3" s="26">
        <v>11</v>
      </c>
    </row>
    <row r="4" spans="1:7" ht="15.75" thickBot="1" x14ac:dyDescent="0.3">
      <c r="A4" s="13" t="s">
        <v>65</v>
      </c>
      <c r="B4" t="s">
        <v>90</v>
      </c>
      <c r="C4" s="7">
        <f>SUM(Pronósticos_de_partidos!L151,Clasificación_de_grupos!J71,Pronósticos_extra!G4,De_16_hasta_el_pódium!F87)</f>
        <v>25</v>
      </c>
      <c r="F4" s="13" t="str">
        <v>DAVID</v>
      </c>
      <c r="G4" s="26">
        <v>12</v>
      </c>
    </row>
    <row r="5" spans="1:7" ht="15.75" thickBot="1" x14ac:dyDescent="0.3">
      <c r="A5" s="13" t="s">
        <v>67</v>
      </c>
      <c r="B5" t="s">
        <v>91</v>
      </c>
      <c r="C5" s="7">
        <f>SUM(Pronósticos_de_partidos!L225,Clasificación_de_grupos!J105,Pronósticos_extra!G5,De_16_hasta_el_pódium!F129)</f>
        <v>30</v>
      </c>
      <c r="F5" s="13" t="str">
        <v>F3ROMONAS</v>
      </c>
      <c r="G5" s="26">
        <v>13</v>
      </c>
    </row>
    <row r="6" spans="1:7" ht="15.75" thickBot="1" x14ac:dyDescent="0.3">
      <c r="A6" s="13" t="s">
        <v>69</v>
      </c>
      <c r="B6" t="s">
        <v>93</v>
      </c>
      <c r="C6" s="7">
        <f>SUM(Pronósticos_de_partidos!L299,Clasificación_de_grupos!J139,Pronósticos_extra!G6,De_16_hasta_el_pódium!F171)</f>
        <v>30</v>
      </c>
      <c r="F6" s="13" t="str">
        <v>GUILLERMO</v>
      </c>
      <c r="G6" s="26">
        <v>13</v>
      </c>
    </row>
    <row r="7" spans="1:7" ht="15.75" thickBot="1" x14ac:dyDescent="0.3">
      <c r="A7" s="13" t="s">
        <v>71</v>
      </c>
      <c r="B7" t="s">
        <v>95</v>
      </c>
      <c r="C7" s="7">
        <f>SUM(Pronósticos_de_partidos!L373,Clasificación_de_grupos!J173,Pronósticos_extra!G7,De_16_hasta_el_pódium!F213)</f>
        <v>15</v>
      </c>
      <c r="F7" s="13" t="str">
        <v>JMONSALV</v>
      </c>
      <c r="G7" s="26">
        <v>8</v>
      </c>
    </row>
    <row r="8" spans="1:7" ht="15.75" thickBot="1" x14ac:dyDescent="0.3">
      <c r="A8" s="13" t="s">
        <v>73</v>
      </c>
      <c r="B8" t="s">
        <v>96</v>
      </c>
      <c r="C8" s="7">
        <f>SUM(Pronósticos_de_partidos!L447,Clasificación_de_grupos!J207,Pronósticos_extra!G8,De_16_hasta_el_pódium!F255)</f>
        <v>25</v>
      </c>
      <c r="F8" s="13" t="str">
        <v>JTORRESM</v>
      </c>
      <c r="G8" s="26">
        <v>9</v>
      </c>
    </row>
    <row r="9" spans="1:7" ht="15.75" thickBot="1" x14ac:dyDescent="0.3">
      <c r="A9" s="13" t="s">
        <v>75</v>
      </c>
      <c r="B9" t="s">
        <v>98</v>
      </c>
      <c r="C9" s="7">
        <f>SUM(Pronósticos_de_partidos!L521,Clasificación_de_grupos!J241,Pronósticos_extra!G9,De_16_hasta_el_pódium!F297)</f>
        <v>25</v>
      </c>
      <c r="F9" s="13" t="str">
        <v>Mike</v>
      </c>
      <c r="G9" s="26">
        <v>14</v>
      </c>
    </row>
    <row r="10" spans="1:7" ht="15.75" thickBot="1" x14ac:dyDescent="0.3">
      <c r="A10" s="13" t="s">
        <v>77</v>
      </c>
      <c r="B10" t="s">
        <v>99</v>
      </c>
      <c r="C10" s="7">
        <f>SUM(Pronósticos_de_partidos!L595,Clasificación_de_grupos!J275,Pronósticos_extra!G10,De_16_hasta_el_pódium!F339)</f>
        <v>15</v>
      </c>
      <c r="F10" s="13" t="str">
        <v>SERGICM</v>
      </c>
      <c r="G10" s="26">
        <v>6</v>
      </c>
    </row>
    <row r="11" spans="1:7" ht="15.75" thickBot="1" x14ac:dyDescent="0.3">
      <c r="A11" s="14" t="s">
        <v>79</v>
      </c>
      <c r="B11" s="22" t="s">
        <v>100</v>
      </c>
      <c r="C11" s="7">
        <f>SUM(Pronósticos_de_partidos!L669,Clasificación_de_grupos!J309,Pronósticos_extra!G11,De_16_hasta_el_pódium!F381)</f>
        <v>35</v>
      </c>
      <c r="F11" s="14" t="str">
        <v>TIBURON ROCA</v>
      </c>
      <c r="G11" s="27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5E7A5-82D4-422D-B6DA-289DEB995E8C}">
  <dimension ref="A1:J340"/>
  <sheetViews>
    <sheetView workbookViewId="0">
      <selection activeCell="L22" sqref="L22"/>
    </sheetView>
  </sheetViews>
  <sheetFormatPr baseColWidth="10" defaultRowHeight="15" x14ac:dyDescent="0.25"/>
  <cols>
    <col min="1" max="1" width="14.28515625" customWidth="1"/>
    <col min="3" max="3" width="8.140625" customWidth="1"/>
    <col min="4" max="4" width="13.7109375" customWidth="1"/>
    <col min="5" max="5" width="3.28515625" customWidth="1"/>
    <col min="6" max="6" width="2.85546875" customWidth="1"/>
    <col min="7" max="7" width="2.5703125" customWidth="1"/>
    <col min="8" max="8" width="15" customWidth="1"/>
  </cols>
  <sheetData>
    <row r="1" spans="1:10" x14ac:dyDescent="0.25">
      <c r="A1" s="1" t="s">
        <v>80</v>
      </c>
      <c r="B1" s="1" t="s">
        <v>518</v>
      </c>
      <c r="C1" s="1" t="s">
        <v>519</v>
      </c>
      <c r="D1" s="1" t="s">
        <v>520</v>
      </c>
      <c r="E1" s="1" t="s">
        <v>521</v>
      </c>
      <c r="F1" s="1" t="s">
        <v>522</v>
      </c>
      <c r="G1" s="1" t="s">
        <v>523</v>
      </c>
      <c r="H1" s="1" t="s">
        <v>524</v>
      </c>
      <c r="I1" s="5" t="s">
        <v>785</v>
      </c>
      <c r="J1" s="5" t="s">
        <v>786</v>
      </c>
    </row>
    <row r="2" spans="1:10" ht="18" customHeight="1" thickBot="1" x14ac:dyDescent="0.3">
      <c r="A2" s="23" t="s">
        <v>526</v>
      </c>
      <c r="B2" s="24"/>
      <c r="C2" s="24"/>
      <c r="D2" s="24"/>
      <c r="E2" s="24"/>
      <c r="F2" s="24"/>
      <c r="G2" s="24"/>
      <c r="H2" s="24"/>
      <c r="I2" s="24"/>
      <c r="J2" s="24"/>
    </row>
    <row r="3" spans="1:10" ht="15.75" thickBot="1" x14ac:dyDescent="0.3">
      <c r="A3" t="s">
        <v>1</v>
      </c>
      <c r="B3" t="s">
        <v>2</v>
      </c>
      <c r="C3">
        <v>1</v>
      </c>
      <c r="D3" t="s">
        <v>3</v>
      </c>
      <c r="E3">
        <v>7</v>
      </c>
      <c r="F3">
        <v>3</v>
      </c>
      <c r="G3">
        <v>5</v>
      </c>
      <c r="H3" t="s">
        <v>525</v>
      </c>
      <c r="I3">
        <f>IF(COUNTIF(OFICIAL!$C$74:$D$88, D3) &gt; 0, 1, 0)</f>
        <v>0</v>
      </c>
      <c r="J3" s="7">
        <f>SUM(I3:I34)</f>
        <v>0</v>
      </c>
    </row>
    <row r="4" spans="1:10" x14ac:dyDescent="0.25">
      <c r="A4" t="s">
        <v>1</v>
      </c>
      <c r="B4" t="s">
        <v>2</v>
      </c>
      <c r="C4">
        <v>2</v>
      </c>
      <c r="D4" t="s">
        <v>5</v>
      </c>
      <c r="E4">
        <v>5</v>
      </c>
      <c r="F4">
        <v>3</v>
      </c>
      <c r="G4">
        <v>5</v>
      </c>
      <c r="H4" t="s">
        <v>525</v>
      </c>
      <c r="I4">
        <f>IF(COUNTIF(OFICIAL!$C$74:$D$88, D4) &gt; 0, 1, 0)</f>
        <v>0</v>
      </c>
    </row>
    <row r="5" spans="1:10" x14ac:dyDescent="0.25">
      <c r="A5" t="s">
        <v>1</v>
      </c>
      <c r="B5" t="s">
        <v>2</v>
      </c>
      <c r="C5">
        <v>3</v>
      </c>
      <c r="D5" t="s">
        <v>6</v>
      </c>
      <c r="E5">
        <v>4</v>
      </c>
      <c r="F5">
        <v>1</v>
      </c>
      <c r="G5">
        <v>4</v>
      </c>
      <c r="H5" t="s">
        <v>536</v>
      </c>
      <c r="I5">
        <f>IF(COUNTIF(OFICIAL!$C$74:$D$88, D5) &gt; 0, 1, 0)</f>
        <v>0</v>
      </c>
    </row>
    <row r="6" spans="1:10" x14ac:dyDescent="0.25">
      <c r="A6" t="s">
        <v>1</v>
      </c>
      <c r="B6" t="s">
        <v>7</v>
      </c>
      <c r="C6">
        <v>1</v>
      </c>
      <c r="D6" t="s">
        <v>14</v>
      </c>
      <c r="E6">
        <v>9</v>
      </c>
      <c r="F6">
        <v>7</v>
      </c>
      <c r="G6">
        <v>7</v>
      </c>
      <c r="H6" t="s">
        <v>525</v>
      </c>
      <c r="I6">
        <f>IF(COUNTIF(OFICIAL!$C$74:$D$88, D6) &gt; 0, 1, 0)</f>
        <v>0</v>
      </c>
    </row>
    <row r="7" spans="1:10" x14ac:dyDescent="0.25">
      <c r="A7" t="s">
        <v>1</v>
      </c>
      <c r="B7" t="s">
        <v>7</v>
      </c>
      <c r="C7">
        <v>2</v>
      </c>
      <c r="D7" t="s">
        <v>8</v>
      </c>
      <c r="E7">
        <v>4</v>
      </c>
      <c r="F7">
        <v>-1</v>
      </c>
      <c r="G7">
        <v>3</v>
      </c>
      <c r="H7" t="s">
        <v>525</v>
      </c>
      <c r="I7">
        <f>IF(COUNTIF(OFICIAL!$C$74:$D$88, D7) &gt; 0, 1, 0)</f>
        <v>0</v>
      </c>
    </row>
    <row r="8" spans="1:10" x14ac:dyDescent="0.25">
      <c r="A8" t="s">
        <v>1</v>
      </c>
      <c r="B8" t="s">
        <v>15</v>
      </c>
      <c r="C8">
        <v>1</v>
      </c>
      <c r="D8" t="s">
        <v>16</v>
      </c>
      <c r="E8">
        <v>7</v>
      </c>
      <c r="F8">
        <v>5</v>
      </c>
      <c r="G8">
        <v>7</v>
      </c>
      <c r="H8" t="s">
        <v>525</v>
      </c>
      <c r="I8">
        <f>IF(COUNTIF(OFICIAL!$C$74:$D$88, D8) &gt; 0, 1, 0)</f>
        <v>0</v>
      </c>
    </row>
    <row r="9" spans="1:10" x14ac:dyDescent="0.25">
      <c r="A9" t="s">
        <v>1</v>
      </c>
      <c r="B9" t="s">
        <v>15</v>
      </c>
      <c r="C9">
        <v>2</v>
      </c>
      <c r="D9" t="s">
        <v>17</v>
      </c>
      <c r="E9">
        <v>6</v>
      </c>
      <c r="F9">
        <v>3</v>
      </c>
      <c r="G9">
        <v>6</v>
      </c>
      <c r="H9" t="s">
        <v>525</v>
      </c>
      <c r="I9">
        <f>IF(COUNTIF(OFICIAL!$C$74:$D$88, D9) &gt; 0, 1, 0)</f>
        <v>0</v>
      </c>
    </row>
    <row r="10" spans="1:10" x14ac:dyDescent="0.25">
      <c r="A10" t="s">
        <v>1</v>
      </c>
      <c r="B10" t="s">
        <v>15</v>
      </c>
      <c r="C10">
        <v>3</v>
      </c>
      <c r="D10" t="s">
        <v>19</v>
      </c>
      <c r="E10">
        <v>4</v>
      </c>
      <c r="F10">
        <v>1</v>
      </c>
      <c r="G10">
        <v>4</v>
      </c>
      <c r="H10" t="s">
        <v>536</v>
      </c>
      <c r="I10">
        <f>IF(COUNTIF(OFICIAL!$C$74:$D$88, D10) &gt; 0, 1, 0)</f>
        <v>0</v>
      </c>
    </row>
    <row r="11" spans="1:10" x14ac:dyDescent="0.25">
      <c r="A11" t="s">
        <v>1</v>
      </c>
      <c r="B11" t="s">
        <v>10</v>
      </c>
      <c r="C11">
        <v>1</v>
      </c>
      <c r="D11" t="s">
        <v>11</v>
      </c>
      <c r="E11">
        <v>7</v>
      </c>
      <c r="F11">
        <v>3</v>
      </c>
      <c r="G11">
        <v>5</v>
      </c>
      <c r="H11" t="s">
        <v>525</v>
      </c>
      <c r="I11">
        <f>IF(COUNTIF(OFICIAL!$C$74:$D$88, D11) &gt; 0, 1, 0)</f>
        <v>0</v>
      </c>
    </row>
    <row r="12" spans="1:10" x14ac:dyDescent="0.25">
      <c r="A12" t="s">
        <v>1</v>
      </c>
      <c r="B12" t="s">
        <v>10</v>
      </c>
      <c r="C12">
        <v>2</v>
      </c>
      <c r="D12" t="s">
        <v>21</v>
      </c>
      <c r="E12">
        <v>7</v>
      </c>
      <c r="F12">
        <v>3</v>
      </c>
      <c r="G12">
        <v>4</v>
      </c>
      <c r="H12" t="s">
        <v>525</v>
      </c>
      <c r="I12">
        <f>IF(COUNTIF(OFICIAL!$C$74:$D$88, D12) &gt; 0, 1, 0)</f>
        <v>0</v>
      </c>
    </row>
    <row r="13" spans="1:10" x14ac:dyDescent="0.25">
      <c r="A13" t="s">
        <v>1</v>
      </c>
      <c r="B13" t="s">
        <v>22</v>
      </c>
      <c r="C13">
        <v>1</v>
      </c>
      <c r="D13" t="s">
        <v>23</v>
      </c>
      <c r="E13">
        <v>7</v>
      </c>
      <c r="F13">
        <v>5</v>
      </c>
      <c r="G13">
        <v>8</v>
      </c>
      <c r="H13" t="s">
        <v>525</v>
      </c>
      <c r="I13">
        <f>IF(COUNTIF(OFICIAL!$C$74:$D$88, D13) &gt; 0, 1, 0)</f>
        <v>0</v>
      </c>
    </row>
    <row r="14" spans="1:10" x14ac:dyDescent="0.25">
      <c r="A14" t="s">
        <v>1</v>
      </c>
      <c r="B14" t="s">
        <v>22</v>
      </c>
      <c r="C14">
        <v>2</v>
      </c>
      <c r="D14" t="s">
        <v>28</v>
      </c>
      <c r="E14">
        <v>5</v>
      </c>
      <c r="F14">
        <v>3</v>
      </c>
      <c r="G14">
        <v>6</v>
      </c>
      <c r="H14" t="s">
        <v>525</v>
      </c>
      <c r="I14">
        <f>IF(COUNTIF(OFICIAL!$C$74:$D$88, D14) &gt; 0, 1, 0)</f>
        <v>0</v>
      </c>
    </row>
    <row r="15" spans="1:10" x14ac:dyDescent="0.25">
      <c r="A15" t="s">
        <v>1</v>
      </c>
      <c r="B15" t="s">
        <v>22</v>
      </c>
      <c r="C15">
        <v>3</v>
      </c>
      <c r="D15" t="s">
        <v>29</v>
      </c>
      <c r="E15">
        <v>4</v>
      </c>
      <c r="F15">
        <v>2</v>
      </c>
      <c r="G15">
        <v>5</v>
      </c>
      <c r="H15" t="s">
        <v>536</v>
      </c>
      <c r="I15">
        <f>IF(COUNTIF(OFICIAL!$C$74:$D$88, D15) &gt; 0, 1, 0)</f>
        <v>0</v>
      </c>
    </row>
    <row r="16" spans="1:10" x14ac:dyDescent="0.25">
      <c r="A16" t="s">
        <v>1</v>
      </c>
      <c r="B16" t="s">
        <v>25</v>
      </c>
      <c r="C16">
        <v>1</v>
      </c>
      <c r="D16" t="s">
        <v>26</v>
      </c>
      <c r="E16">
        <v>7</v>
      </c>
      <c r="F16">
        <v>4</v>
      </c>
      <c r="G16">
        <v>7</v>
      </c>
      <c r="H16" t="s">
        <v>525</v>
      </c>
      <c r="I16">
        <f>IF(COUNTIF(OFICIAL!$C$74:$D$88, D16) &gt; 0, 1, 0)</f>
        <v>0</v>
      </c>
    </row>
    <row r="17" spans="1:9" x14ac:dyDescent="0.25">
      <c r="A17" t="s">
        <v>1</v>
      </c>
      <c r="B17" t="s">
        <v>25</v>
      </c>
      <c r="C17">
        <v>2</v>
      </c>
      <c r="D17" t="s">
        <v>27</v>
      </c>
      <c r="E17">
        <v>7</v>
      </c>
      <c r="F17">
        <v>3</v>
      </c>
      <c r="G17">
        <v>6</v>
      </c>
      <c r="H17" t="s">
        <v>525</v>
      </c>
      <c r="I17">
        <f>IF(COUNTIF(OFICIAL!$C$74:$D$88, D17) &gt; 0, 1, 0)</f>
        <v>0</v>
      </c>
    </row>
    <row r="18" spans="1:9" x14ac:dyDescent="0.25">
      <c r="A18" t="s">
        <v>1</v>
      </c>
      <c r="B18" t="s">
        <v>25</v>
      </c>
      <c r="C18">
        <v>3</v>
      </c>
      <c r="D18" t="s">
        <v>30</v>
      </c>
      <c r="E18">
        <v>3</v>
      </c>
      <c r="F18">
        <v>-1</v>
      </c>
      <c r="G18">
        <v>4</v>
      </c>
      <c r="H18" t="s">
        <v>536</v>
      </c>
      <c r="I18">
        <f>IF(COUNTIF(OFICIAL!$C$74:$D$88, D18) &gt; 0, 1, 0)</f>
        <v>0</v>
      </c>
    </row>
    <row r="19" spans="1:9" x14ac:dyDescent="0.25">
      <c r="A19" t="s">
        <v>1</v>
      </c>
      <c r="B19" t="s">
        <v>35</v>
      </c>
      <c r="C19">
        <v>1</v>
      </c>
      <c r="D19" t="s">
        <v>36</v>
      </c>
      <c r="E19">
        <v>7</v>
      </c>
      <c r="F19">
        <v>3</v>
      </c>
      <c r="G19">
        <v>5</v>
      </c>
      <c r="H19" t="s">
        <v>525</v>
      </c>
      <c r="I19">
        <f>IF(COUNTIF(OFICIAL!$C$74:$D$88, D19) &gt; 0, 1, 0)</f>
        <v>0</v>
      </c>
    </row>
    <row r="20" spans="1:9" x14ac:dyDescent="0.25">
      <c r="A20" t="s">
        <v>1</v>
      </c>
      <c r="B20" t="s">
        <v>35</v>
      </c>
      <c r="C20">
        <v>2</v>
      </c>
      <c r="D20" t="s">
        <v>37</v>
      </c>
      <c r="E20">
        <v>5</v>
      </c>
      <c r="F20">
        <v>3</v>
      </c>
      <c r="G20">
        <v>5</v>
      </c>
      <c r="H20" t="s">
        <v>525</v>
      </c>
      <c r="I20">
        <f>IF(COUNTIF(OFICIAL!$C$74:$D$88, D20) &gt; 0, 1, 0)</f>
        <v>0</v>
      </c>
    </row>
    <row r="21" spans="1:9" x14ac:dyDescent="0.25">
      <c r="A21" t="s">
        <v>1</v>
      </c>
      <c r="B21" t="s">
        <v>35</v>
      </c>
      <c r="C21">
        <v>3</v>
      </c>
      <c r="D21" t="s">
        <v>40</v>
      </c>
      <c r="E21">
        <v>4</v>
      </c>
      <c r="F21">
        <v>0</v>
      </c>
      <c r="G21">
        <v>4</v>
      </c>
      <c r="H21" t="s">
        <v>536</v>
      </c>
      <c r="I21">
        <f>IF(COUNTIF(OFICIAL!$C$74:$D$88, D21) &gt; 0, 1, 0)</f>
        <v>0</v>
      </c>
    </row>
    <row r="22" spans="1:9" x14ac:dyDescent="0.25">
      <c r="A22" t="s">
        <v>1</v>
      </c>
      <c r="B22" t="s">
        <v>32</v>
      </c>
      <c r="C22">
        <v>1</v>
      </c>
      <c r="D22" t="s">
        <v>33</v>
      </c>
      <c r="E22">
        <v>7</v>
      </c>
      <c r="F22">
        <v>5</v>
      </c>
      <c r="G22">
        <v>6</v>
      </c>
      <c r="H22" t="s">
        <v>525</v>
      </c>
      <c r="I22">
        <f>IF(COUNTIF(OFICIAL!$C$74:$D$88, D22) &gt; 0, 1, 0)</f>
        <v>0</v>
      </c>
    </row>
    <row r="23" spans="1:9" x14ac:dyDescent="0.25">
      <c r="A23" t="s">
        <v>1</v>
      </c>
      <c r="B23" t="s">
        <v>32</v>
      </c>
      <c r="C23">
        <v>2</v>
      </c>
      <c r="D23" t="s">
        <v>39</v>
      </c>
      <c r="E23">
        <v>7</v>
      </c>
      <c r="F23">
        <v>3</v>
      </c>
      <c r="G23">
        <v>5</v>
      </c>
      <c r="H23" t="s">
        <v>525</v>
      </c>
      <c r="I23">
        <f>IF(COUNTIF(OFICIAL!$C$74:$D$88, D23) &gt; 0, 1, 0)</f>
        <v>0</v>
      </c>
    </row>
    <row r="24" spans="1:9" x14ac:dyDescent="0.25">
      <c r="A24" t="s">
        <v>1</v>
      </c>
      <c r="B24" t="s">
        <v>42</v>
      </c>
      <c r="C24">
        <v>1</v>
      </c>
      <c r="D24" t="s">
        <v>43</v>
      </c>
      <c r="E24">
        <v>7</v>
      </c>
      <c r="F24">
        <v>5</v>
      </c>
      <c r="G24">
        <v>7</v>
      </c>
      <c r="H24" t="s">
        <v>525</v>
      </c>
      <c r="I24">
        <f>IF(COUNTIF(OFICIAL!$C$74:$D$88, D24) &gt; 0, 1, 0)</f>
        <v>0</v>
      </c>
    </row>
    <row r="25" spans="1:9" x14ac:dyDescent="0.25">
      <c r="A25" t="s">
        <v>1</v>
      </c>
      <c r="B25" t="s">
        <v>42</v>
      </c>
      <c r="C25">
        <v>2</v>
      </c>
      <c r="D25" t="s">
        <v>44</v>
      </c>
      <c r="E25">
        <v>5</v>
      </c>
      <c r="F25">
        <v>2</v>
      </c>
      <c r="G25">
        <v>4</v>
      </c>
      <c r="H25" t="s">
        <v>525</v>
      </c>
      <c r="I25">
        <f>IF(COUNTIF(OFICIAL!$C$74:$D$88, D25) &gt; 0, 1, 0)</f>
        <v>0</v>
      </c>
    </row>
    <row r="26" spans="1:9" x14ac:dyDescent="0.25">
      <c r="A26" t="s">
        <v>1</v>
      </c>
      <c r="B26" t="s">
        <v>42</v>
      </c>
      <c r="C26">
        <v>3</v>
      </c>
      <c r="D26" t="s">
        <v>46</v>
      </c>
      <c r="E26">
        <v>4</v>
      </c>
      <c r="F26">
        <v>2</v>
      </c>
      <c r="G26">
        <v>5</v>
      </c>
      <c r="H26" t="s">
        <v>536</v>
      </c>
      <c r="I26">
        <f>IF(COUNTIF(OFICIAL!$C$74:$D$88, D26) &gt; 0, 1, 0)</f>
        <v>0</v>
      </c>
    </row>
    <row r="27" spans="1:9" x14ac:dyDescent="0.25">
      <c r="A27" t="s">
        <v>1</v>
      </c>
      <c r="B27" t="s">
        <v>47</v>
      </c>
      <c r="C27">
        <v>1</v>
      </c>
      <c r="D27" t="s">
        <v>48</v>
      </c>
      <c r="E27">
        <v>7</v>
      </c>
      <c r="F27">
        <v>5</v>
      </c>
      <c r="G27">
        <v>7</v>
      </c>
      <c r="H27" t="s">
        <v>525</v>
      </c>
      <c r="I27">
        <f>IF(COUNTIF(OFICIAL!$C$74:$D$88, D27) &gt; 0, 1, 0)</f>
        <v>0</v>
      </c>
    </row>
    <row r="28" spans="1:9" x14ac:dyDescent="0.25">
      <c r="A28" t="s">
        <v>1</v>
      </c>
      <c r="B28" t="s">
        <v>47</v>
      </c>
      <c r="C28">
        <v>2</v>
      </c>
      <c r="D28" t="s">
        <v>50</v>
      </c>
      <c r="E28">
        <v>5</v>
      </c>
      <c r="F28">
        <v>3</v>
      </c>
      <c r="G28">
        <v>5</v>
      </c>
      <c r="H28" t="s">
        <v>525</v>
      </c>
      <c r="I28">
        <f>IF(COUNTIF(OFICIAL!$C$74:$D$88, D28) &gt; 0, 1, 0)</f>
        <v>0</v>
      </c>
    </row>
    <row r="29" spans="1:9" x14ac:dyDescent="0.25">
      <c r="A29" t="s">
        <v>1</v>
      </c>
      <c r="B29" t="s">
        <v>47</v>
      </c>
      <c r="C29">
        <v>3</v>
      </c>
      <c r="D29" t="s">
        <v>49</v>
      </c>
      <c r="E29">
        <v>4</v>
      </c>
      <c r="F29">
        <v>0</v>
      </c>
      <c r="G29">
        <v>4</v>
      </c>
      <c r="H29" t="s">
        <v>536</v>
      </c>
      <c r="I29">
        <f>IF(COUNTIF(OFICIAL!$C$74:$D$88, D29) &gt; 0, 1, 0)</f>
        <v>0</v>
      </c>
    </row>
    <row r="30" spans="1:9" x14ac:dyDescent="0.25">
      <c r="A30" t="s">
        <v>1</v>
      </c>
      <c r="B30" t="s">
        <v>52</v>
      </c>
      <c r="C30">
        <v>1</v>
      </c>
      <c r="D30" t="s">
        <v>61</v>
      </c>
      <c r="E30">
        <v>7</v>
      </c>
      <c r="F30">
        <v>4</v>
      </c>
      <c r="G30">
        <v>6</v>
      </c>
      <c r="H30" t="s">
        <v>525</v>
      </c>
      <c r="I30">
        <f>IF(COUNTIF(OFICIAL!$C$74:$D$88, D30) &gt; 0, 1, 0)</f>
        <v>0</v>
      </c>
    </row>
    <row r="31" spans="1:9" x14ac:dyDescent="0.25">
      <c r="A31" t="s">
        <v>1</v>
      </c>
      <c r="B31" t="s">
        <v>52</v>
      </c>
      <c r="C31">
        <v>2</v>
      </c>
      <c r="D31" t="s">
        <v>53</v>
      </c>
      <c r="E31">
        <v>7</v>
      </c>
      <c r="F31">
        <v>4</v>
      </c>
      <c r="G31">
        <v>6</v>
      </c>
      <c r="H31" t="s">
        <v>525</v>
      </c>
      <c r="I31">
        <f>IF(COUNTIF(OFICIAL!$C$74:$D$88, D31) &gt; 0, 1, 0)</f>
        <v>0</v>
      </c>
    </row>
    <row r="32" spans="1:9" x14ac:dyDescent="0.25">
      <c r="A32" t="s">
        <v>1</v>
      </c>
      <c r="B32" t="s">
        <v>55</v>
      </c>
      <c r="C32">
        <v>1</v>
      </c>
      <c r="D32" t="s">
        <v>56</v>
      </c>
      <c r="E32">
        <v>9</v>
      </c>
      <c r="F32">
        <v>6</v>
      </c>
      <c r="G32">
        <v>8</v>
      </c>
      <c r="H32" t="s">
        <v>525</v>
      </c>
      <c r="I32">
        <f>IF(COUNTIF(OFICIAL!$C$74:$D$88, D32) &gt; 0, 1, 0)</f>
        <v>0</v>
      </c>
    </row>
    <row r="33" spans="1:10" x14ac:dyDescent="0.25">
      <c r="A33" t="s">
        <v>1</v>
      </c>
      <c r="B33" t="s">
        <v>55</v>
      </c>
      <c r="C33">
        <v>2</v>
      </c>
      <c r="D33" t="s">
        <v>57</v>
      </c>
      <c r="E33">
        <v>4</v>
      </c>
      <c r="F33">
        <v>1</v>
      </c>
      <c r="G33">
        <v>4</v>
      </c>
      <c r="H33" t="s">
        <v>525</v>
      </c>
      <c r="I33">
        <f>IF(COUNTIF(OFICIAL!$C$74:$D$88, D33) &gt; 0, 1, 0)</f>
        <v>0</v>
      </c>
    </row>
    <row r="34" spans="1:10" x14ac:dyDescent="0.25">
      <c r="A34" t="s">
        <v>1</v>
      </c>
      <c r="B34" t="s">
        <v>55</v>
      </c>
      <c r="C34">
        <v>3</v>
      </c>
      <c r="D34" t="s">
        <v>58</v>
      </c>
      <c r="E34">
        <v>4</v>
      </c>
      <c r="F34">
        <v>0</v>
      </c>
      <c r="G34">
        <v>4</v>
      </c>
      <c r="H34" t="s">
        <v>536</v>
      </c>
      <c r="I34">
        <f>IF(COUNTIF(OFICIAL!$C$74:$D$88, D34) &gt; 0, 1, 0)</f>
        <v>0</v>
      </c>
    </row>
    <row r="36" spans="1:10" ht="18" customHeight="1" thickBot="1" x14ac:dyDescent="0.3">
      <c r="A36" s="23" t="s">
        <v>527</v>
      </c>
      <c r="B36" s="24"/>
      <c r="C36" s="24"/>
      <c r="D36" s="24"/>
      <c r="E36" s="24"/>
      <c r="F36" s="24"/>
      <c r="G36" s="24"/>
      <c r="H36" s="24"/>
      <c r="I36" s="24"/>
      <c r="J36" s="24"/>
    </row>
    <row r="37" spans="1:10" ht="15.75" thickBot="1" x14ac:dyDescent="0.3">
      <c r="A37" t="s">
        <v>63</v>
      </c>
      <c r="B37" t="s">
        <v>2</v>
      </c>
      <c r="C37">
        <v>1</v>
      </c>
      <c r="D37" t="s">
        <v>3</v>
      </c>
      <c r="E37">
        <v>7</v>
      </c>
      <c r="F37">
        <v>4</v>
      </c>
      <c r="G37">
        <v>5</v>
      </c>
      <c r="H37" t="s">
        <v>525</v>
      </c>
      <c r="I37">
        <f>IF(COUNTIF(OFICIAL!$C$74:$D$88, D37) &gt; 0, 1, 0)</f>
        <v>0</v>
      </c>
      <c r="J37" s="7">
        <f>SUM(I37:I68)</f>
        <v>0</v>
      </c>
    </row>
    <row r="38" spans="1:10" x14ac:dyDescent="0.25">
      <c r="A38" t="s">
        <v>63</v>
      </c>
      <c r="B38" t="s">
        <v>2</v>
      </c>
      <c r="C38">
        <v>2</v>
      </c>
      <c r="D38" t="s">
        <v>6</v>
      </c>
      <c r="E38">
        <v>5</v>
      </c>
      <c r="F38">
        <v>2</v>
      </c>
      <c r="G38">
        <v>4</v>
      </c>
      <c r="H38" t="s">
        <v>525</v>
      </c>
      <c r="I38">
        <f>IF(COUNTIF(OFICIAL!$C$74:$D$88, D38) &gt; 0, 1, 0)</f>
        <v>0</v>
      </c>
    </row>
    <row r="39" spans="1:10" x14ac:dyDescent="0.25">
      <c r="A39" t="s">
        <v>63</v>
      </c>
      <c r="B39" t="s">
        <v>2</v>
      </c>
      <c r="C39">
        <v>3</v>
      </c>
      <c r="D39" t="s">
        <v>4</v>
      </c>
      <c r="E39">
        <v>4</v>
      </c>
      <c r="F39">
        <v>0</v>
      </c>
      <c r="G39">
        <v>4</v>
      </c>
      <c r="H39" t="s">
        <v>536</v>
      </c>
      <c r="I39">
        <f>IF(COUNTIF(OFICIAL!$C$74:$D$88, D39) &gt; 0, 1, 0)</f>
        <v>0</v>
      </c>
    </row>
    <row r="40" spans="1:10" x14ac:dyDescent="0.25">
      <c r="A40" t="s">
        <v>63</v>
      </c>
      <c r="B40" t="s">
        <v>7</v>
      </c>
      <c r="C40">
        <v>1</v>
      </c>
      <c r="D40" t="s">
        <v>8</v>
      </c>
      <c r="E40">
        <v>7</v>
      </c>
      <c r="F40">
        <v>2</v>
      </c>
      <c r="G40">
        <v>4</v>
      </c>
      <c r="H40" t="s">
        <v>525</v>
      </c>
      <c r="I40">
        <f>IF(COUNTIF(OFICIAL!$C$74:$D$88, D40) &gt; 0, 1, 0)</f>
        <v>0</v>
      </c>
    </row>
    <row r="41" spans="1:10" x14ac:dyDescent="0.25">
      <c r="A41" t="s">
        <v>63</v>
      </c>
      <c r="B41" t="s">
        <v>7</v>
      </c>
      <c r="C41">
        <v>2</v>
      </c>
      <c r="D41" t="s">
        <v>14</v>
      </c>
      <c r="E41">
        <v>5</v>
      </c>
      <c r="F41">
        <v>1</v>
      </c>
      <c r="G41">
        <v>4</v>
      </c>
      <c r="H41" t="s">
        <v>525</v>
      </c>
      <c r="I41">
        <f>IF(COUNTIF(OFICIAL!$C$74:$D$88, D41) &gt; 0, 1, 0)</f>
        <v>0</v>
      </c>
    </row>
    <row r="42" spans="1:10" x14ac:dyDescent="0.25">
      <c r="A42" t="s">
        <v>63</v>
      </c>
      <c r="B42" t="s">
        <v>7</v>
      </c>
      <c r="C42">
        <v>3</v>
      </c>
      <c r="D42" t="s">
        <v>13</v>
      </c>
      <c r="E42">
        <v>4</v>
      </c>
      <c r="F42">
        <v>0</v>
      </c>
      <c r="G42">
        <v>2</v>
      </c>
      <c r="H42" t="s">
        <v>536</v>
      </c>
      <c r="I42">
        <f>IF(COUNTIF(OFICIAL!$C$74:$D$88, D42) &gt; 0, 1, 0)</f>
        <v>0</v>
      </c>
    </row>
    <row r="43" spans="1:10" x14ac:dyDescent="0.25">
      <c r="A43" t="s">
        <v>63</v>
      </c>
      <c r="B43" t="s">
        <v>15</v>
      </c>
      <c r="C43">
        <v>1</v>
      </c>
      <c r="D43" t="s">
        <v>17</v>
      </c>
      <c r="E43">
        <v>9</v>
      </c>
      <c r="F43">
        <v>8</v>
      </c>
      <c r="G43">
        <v>9</v>
      </c>
      <c r="H43" t="s">
        <v>525</v>
      </c>
      <c r="I43">
        <f>IF(COUNTIF(OFICIAL!$C$74:$D$88, D43) &gt; 0, 1, 0)</f>
        <v>0</v>
      </c>
    </row>
    <row r="44" spans="1:10" x14ac:dyDescent="0.25">
      <c r="A44" t="s">
        <v>63</v>
      </c>
      <c r="B44" t="s">
        <v>15</v>
      </c>
      <c r="C44">
        <v>2</v>
      </c>
      <c r="D44" t="s">
        <v>16</v>
      </c>
      <c r="E44">
        <v>6</v>
      </c>
      <c r="F44">
        <v>6</v>
      </c>
      <c r="G44">
        <v>10</v>
      </c>
      <c r="H44" t="s">
        <v>525</v>
      </c>
      <c r="I44">
        <f>IF(COUNTIF(OFICIAL!$C$74:$D$88, D44) &gt; 0, 1, 0)</f>
        <v>0</v>
      </c>
    </row>
    <row r="45" spans="1:10" x14ac:dyDescent="0.25">
      <c r="A45" t="s">
        <v>63</v>
      </c>
      <c r="B45" t="s">
        <v>15</v>
      </c>
      <c r="C45">
        <v>3</v>
      </c>
      <c r="D45" t="s">
        <v>19</v>
      </c>
      <c r="E45">
        <v>3</v>
      </c>
      <c r="F45">
        <v>-2</v>
      </c>
      <c r="G45">
        <v>3</v>
      </c>
      <c r="H45" t="s">
        <v>536</v>
      </c>
      <c r="I45">
        <f>IF(COUNTIF(OFICIAL!$C$74:$D$88, D45) &gt; 0, 1, 0)</f>
        <v>0</v>
      </c>
    </row>
    <row r="46" spans="1:10" x14ac:dyDescent="0.25">
      <c r="A46" t="s">
        <v>63</v>
      </c>
      <c r="B46" t="s">
        <v>10</v>
      </c>
      <c r="C46">
        <v>1</v>
      </c>
      <c r="D46" t="s">
        <v>21</v>
      </c>
      <c r="E46">
        <v>9</v>
      </c>
      <c r="F46">
        <v>5</v>
      </c>
      <c r="G46">
        <v>7</v>
      </c>
      <c r="H46" t="s">
        <v>525</v>
      </c>
      <c r="I46">
        <f>IF(COUNTIF(OFICIAL!$C$74:$D$88, D46) &gt; 0, 1, 0)</f>
        <v>0</v>
      </c>
    </row>
    <row r="47" spans="1:10" x14ac:dyDescent="0.25">
      <c r="A47" t="s">
        <v>63</v>
      </c>
      <c r="B47" t="s">
        <v>10</v>
      </c>
      <c r="C47">
        <v>2</v>
      </c>
      <c r="D47" t="s">
        <v>11</v>
      </c>
      <c r="E47">
        <v>2</v>
      </c>
      <c r="F47">
        <v>-1</v>
      </c>
      <c r="G47">
        <v>4</v>
      </c>
      <c r="H47" t="s">
        <v>525</v>
      </c>
      <c r="I47">
        <f>IF(COUNTIF(OFICIAL!$C$74:$D$88, D47) &gt; 0, 1, 0)</f>
        <v>0</v>
      </c>
    </row>
    <row r="48" spans="1:10" x14ac:dyDescent="0.25">
      <c r="A48" t="s">
        <v>63</v>
      </c>
      <c r="B48" t="s">
        <v>22</v>
      </c>
      <c r="C48">
        <v>1</v>
      </c>
      <c r="D48" t="s">
        <v>23</v>
      </c>
      <c r="E48">
        <v>9</v>
      </c>
      <c r="F48">
        <v>10</v>
      </c>
      <c r="G48">
        <v>11</v>
      </c>
      <c r="H48" t="s">
        <v>525</v>
      </c>
      <c r="I48">
        <f>IF(COUNTIF(OFICIAL!$C$74:$D$88, D48) &gt; 0, 1, 0)</f>
        <v>0</v>
      </c>
    </row>
    <row r="49" spans="1:9" x14ac:dyDescent="0.25">
      <c r="A49" t="s">
        <v>63</v>
      </c>
      <c r="B49" t="s">
        <v>22</v>
      </c>
      <c r="C49">
        <v>2</v>
      </c>
      <c r="D49" t="s">
        <v>28</v>
      </c>
      <c r="E49">
        <v>6</v>
      </c>
      <c r="F49">
        <v>2</v>
      </c>
      <c r="G49">
        <v>6</v>
      </c>
      <c r="H49" t="s">
        <v>525</v>
      </c>
      <c r="I49">
        <f>IF(COUNTIF(OFICIAL!$C$74:$D$88, D49) &gt; 0, 1, 0)</f>
        <v>0</v>
      </c>
    </row>
    <row r="50" spans="1:9" x14ac:dyDescent="0.25">
      <c r="A50" t="s">
        <v>63</v>
      </c>
      <c r="B50" t="s">
        <v>22</v>
      </c>
      <c r="C50">
        <v>3</v>
      </c>
      <c r="D50" t="s">
        <v>29</v>
      </c>
      <c r="E50">
        <v>3</v>
      </c>
      <c r="F50">
        <v>-1</v>
      </c>
      <c r="G50">
        <v>4</v>
      </c>
      <c r="H50" t="s">
        <v>536</v>
      </c>
      <c r="I50">
        <f>IF(COUNTIF(OFICIAL!$C$74:$D$88, D50) &gt; 0, 1, 0)</f>
        <v>0</v>
      </c>
    </row>
    <row r="51" spans="1:9" x14ac:dyDescent="0.25">
      <c r="A51" t="s">
        <v>63</v>
      </c>
      <c r="B51" t="s">
        <v>25</v>
      </c>
      <c r="C51">
        <v>1</v>
      </c>
      <c r="D51" t="s">
        <v>26</v>
      </c>
      <c r="E51">
        <v>9</v>
      </c>
      <c r="F51">
        <v>6</v>
      </c>
      <c r="G51">
        <v>9</v>
      </c>
      <c r="H51" t="s">
        <v>525</v>
      </c>
      <c r="I51">
        <f>IF(COUNTIF(OFICIAL!$C$74:$D$88, D51) &gt; 0, 1, 0)</f>
        <v>0</v>
      </c>
    </row>
    <row r="52" spans="1:9" x14ac:dyDescent="0.25">
      <c r="A52" t="s">
        <v>63</v>
      </c>
      <c r="B52" t="s">
        <v>25</v>
      </c>
      <c r="C52">
        <v>2</v>
      </c>
      <c r="D52" t="s">
        <v>27</v>
      </c>
      <c r="E52">
        <v>4</v>
      </c>
      <c r="F52">
        <v>1</v>
      </c>
      <c r="G52">
        <v>6</v>
      </c>
      <c r="H52" t="s">
        <v>525</v>
      </c>
      <c r="I52">
        <f>IF(COUNTIF(OFICIAL!$C$74:$D$88, D52) &gt; 0, 1, 0)</f>
        <v>0</v>
      </c>
    </row>
    <row r="53" spans="1:9" x14ac:dyDescent="0.25">
      <c r="A53" t="s">
        <v>63</v>
      </c>
      <c r="B53" t="s">
        <v>25</v>
      </c>
      <c r="C53">
        <v>3</v>
      </c>
      <c r="D53" t="s">
        <v>30</v>
      </c>
      <c r="E53">
        <v>4</v>
      </c>
      <c r="F53">
        <v>1</v>
      </c>
      <c r="G53">
        <v>5</v>
      </c>
      <c r="H53" t="s">
        <v>536</v>
      </c>
      <c r="I53">
        <f>IF(COUNTIF(OFICIAL!$C$74:$D$88, D53) &gt; 0, 1, 0)</f>
        <v>0</v>
      </c>
    </row>
    <row r="54" spans="1:9" x14ac:dyDescent="0.25">
      <c r="A54" t="s">
        <v>63</v>
      </c>
      <c r="B54" t="s">
        <v>35</v>
      </c>
      <c r="C54">
        <v>1</v>
      </c>
      <c r="D54" t="s">
        <v>36</v>
      </c>
      <c r="E54">
        <v>7</v>
      </c>
      <c r="F54">
        <v>5</v>
      </c>
      <c r="G54">
        <v>7</v>
      </c>
      <c r="H54" t="s">
        <v>525</v>
      </c>
      <c r="I54">
        <f>IF(COUNTIF(OFICIAL!$C$74:$D$88, D54) &gt; 0, 1, 0)</f>
        <v>0</v>
      </c>
    </row>
    <row r="55" spans="1:9" x14ac:dyDescent="0.25">
      <c r="A55" t="s">
        <v>63</v>
      </c>
      <c r="B55" t="s">
        <v>35</v>
      </c>
      <c r="C55">
        <v>2</v>
      </c>
      <c r="D55" t="s">
        <v>37</v>
      </c>
      <c r="E55">
        <v>7</v>
      </c>
      <c r="F55">
        <v>4</v>
      </c>
      <c r="G55">
        <v>5</v>
      </c>
      <c r="H55" t="s">
        <v>525</v>
      </c>
      <c r="I55">
        <f>IF(COUNTIF(OFICIAL!$C$74:$D$88, D55) &gt; 0, 1, 0)</f>
        <v>0</v>
      </c>
    </row>
    <row r="56" spans="1:9" x14ac:dyDescent="0.25">
      <c r="A56" t="s">
        <v>63</v>
      </c>
      <c r="B56" t="s">
        <v>32</v>
      </c>
      <c r="C56">
        <v>1</v>
      </c>
      <c r="D56" t="s">
        <v>33</v>
      </c>
      <c r="E56">
        <v>9</v>
      </c>
      <c r="F56">
        <v>6</v>
      </c>
      <c r="G56">
        <v>8</v>
      </c>
      <c r="H56" t="s">
        <v>525</v>
      </c>
      <c r="I56">
        <f>IF(COUNTIF(OFICIAL!$C$74:$D$88, D56) &gt; 0, 1, 0)</f>
        <v>0</v>
      </c>
    </row>
    <row r="57" spans="1:9" x14ac:dyDescent="0.25">
      <c r="A57" t="s">
        <v>63</v>
      </c>
      <c r="B57" t="s">
        <v>32</v>
      </c>
      <c r="C57">
        <v>2</v>
      </c>
      <c r="D57" t="s">
        <v>39</v>
      </c>
      <c r="E57">
        <v>6</v>
      </c>
      <c r="F57">
        <v>1</v>
      </c>
      <c r="G57">
        <v>5</v>
      </c>
      <c r="H57" t="s">
        <v>525</v>
      </c>
      <c r="I57">
        <f>IF(COUNTIF(OFICIAL!$C$74:$D$88, D57) &gt; 0, 1, 0)</f>
        <v>0</v>
      </c>
    </row>
    <row r="58" spans="1:9" x14ac:dyDescent="0.25">
      <c r="A58" t="s">
        <v>63</v>
      </c>
      <c r="B58" t="s">
        <v>32</v>
      </c>
      <c r="C58">
        <v>3</v>
      </c>
      <c r="D58" t="s">
        <v>38</v>
      </c>
      <c r="E58">
        <v>3</v>
      </c>
      <c r="F58">
        <v>-1</v>
      </c>
      <c r="G58">
        <v>5</v>
      </c>
      <c r="H58" t="s">
        <v>536</v>
      </c>
      <c r="I58">
        <f>IF(COUNTIF(OFICIAL!$C$74:$D$88, D58) &gt; 0, 1, 0)</f>
        <v>0</v>
      </c>
    </row>
    <row r="59" spans="1:9" x14ac:dyDescent="0.25">
      <c r="A59" t="s">
        <v>63</v>
      </c>
      <c r="B59" t="s">
        <v>42</v>
      </c>
      <c r="C59">
        <v>1</v>
      </c>
      <c r="D59" t="s">
        <v>43</v>
      </c>
      <c r="E59">
        <v>9</v>
      </c>
      <c r="F59">
        <v>8</v>
      </c>
      <c r="G59">
        <v>9</v>
      </c>
      <c r="H59" t="s">
        <v>525</v>
      </c>
      <c r="I59">
        <f>IF(COUNTIF(OFICIAL!$C$74:$D$88, D59) &gt; 0, 1, 0)</f>
        <v>0</v>
      </c>
    </row>
    <row r="60" spans="1:9" x14ac:dyDescent="0.25">
      <c r="A60" t="s">
        <v>63</v>
      </c>
      <c r="B60" t="s">
        <v>42</v>
      </c>
      <c r="C60">
        <v>2</v>
      </c>
      <c r="D60" t="s">
        <v>46</v>
      </c>
      <c r="E60">
        <v>4</v>
      </c>
      <c r="F60">
        <v>0</v>
      </c>
      <c r="G60">
        <v>4</v>
      </c>
      <c r="H60" t="s">
        <v>525</v>
      </c>
      <c r="I60">
        <f>IF(COUNTIF(OFICIAL!$C$74:$D$88, D60) &gt; 0, 1, 0)</f>
        <v>0</v>
      </c>
    </row>
    <row r="61" spans="1:9" x14ac:dyDescent="0.25">
      <c r="A61" t="s">
        <v>63</v>
      </c>
      <c r="B61" t="s">
        <v>42</v>
      </c>
      <c r="C61">
        <v>3</v>
      </c>
      <c r="D61" t="s">
        <v>44</v>
      </c>
      <c r="E61">
        <v>4</v>
      </c>
      <c r="F61">
        <v>0</v>
      </c>
      <c r="G61">
        <v>3</v>
      </c>
      <c r="H61" t="s">
        <v>536</v>
      </c>
      <c r="I61">
        <f>IF(COUNTIF(OFICIAL!$C$74:$D$88, D61) &gt; 0, 1, 0)</f>
        <v>0</v>
      </c>
    </row>
    <row r="62" spans="1:9" x14ac:dyDescent="0.25">
      <c r="A62" t="s">
        <v>63</v>
      </c>
      <c r="B62" t="s">
        <v>47</v>
      </c>
      <c r="C62">
        <v>1</v>
      </c>
      <c r="D62" t="s">
        <v>48</v>
      </c>
      <c r="E62">
        <v>9</v>
      </c>
      <c r="F62">
        <v>8</v>
      </c>
      <c r="G62">
        <v>9</v>
      </c>
      <c r="H62" t="s">
        <v>525</v>
      </c>
      <c r="I62">
        <f>IF(COUNTIF(OFICIAL!$C$74:$D$88, D62) &gt; 0, 1, 0)</f>
        <v>0</v>
      </c>
    </row>
    <row r="63" spans="1:9" x14ac:dyDescent="0.25">
      <c r="A63" t="s">
        <v>63</v>
      </c>
      <c r="B63" t="s">
        <v>47</v>
      </c>
      <c r="C63">
        <v>2</v>
      </c>
      <c r="D63" t="s">
        <v>50</v>
      </c>
      <c r="E63">
        <v>6</v>
      </c>
      <c r="F63">
        <v>2</v>
      </c>
      <c r="G63">
        <v>5</v>
      </c>
      <c r="H63" t="s">
        <v>525</v>
      </c>
      <c r="I63">
        <f>IF(COUNTIF(OFICIAL!$C$74:$D$88, D63) &gt; 0, 1, 0)</f>
        <v>0</v>
      </c>
    </row>
    <row r="64" spans="1:9" x14ac:dyDescent="0.25">
      <c r="A64" t="s">
        <v>63</v>
      </c>
      <c r="B64" t="s">
        <v>52</v>
      </c>
      <c r="C64">
        <v>1</v>
      </c>
      <c r="D64" t="s">
        <v>53</v>
      </c>
      <c r="E64">
        <v>9</v>
      </c>
      <c r="F64">
        <v>6</v>
      </c>
      <c r="G64">
        <v>7</v>
      </c>
      <c r="H64" t="s">
        <v>525</v>
      </c>
      <c r="I64">
        <f>IF(COUNTIF(OFICIAL!$C$74:$D$88, D64) &gt; 0, 1, 0)</f>
        <v>0</v>
      </c>
    </row>
    <row r="65" spans="1:10" x14ac:dyDescent="0.25">
      <c r="A65" t="s">
        <v>63</v>
      </c>
      <c r="B65" t="s">
        <v>52</v>
      </c>
      <c r="C65">
        <v>2</v>
      </c>
      <c r="D65" t="s">
        <v>61</v>
      </c>
      <c r="E65">
        <v>6</v>
      </c>
      <c r="F65">
        <v>3</v>
      </c>
      <c r="G65">
        <v>7</v>
      </c>
      <c r="H65" t="s">
        <v>525</v>
      </c>
      <c r="I65">
        <f>IF(COUNTIF(OFICIAL!$C$74:$D$88, D65) &gt; 0, 1, 0)</f>
        <v>0</v>
      </c>
    </row>
    <row r="66" spans="1:10" x14ac:dyDescent="0.25">
      <c r="A66" t="s">
        <v>63</v>
      </c>
      <c r="B66" t="s">
        <v>55</v>
      </c>
      <c r="C66">
        <v>1</v>
      </c>
      <c r="D66" t="s">
        <v>56</v>
      </c>
      <c r="E66">
        <v>7</v>
      </c>
      <c r="F66">
        <v>5</v>
      </c>
      <c r="G66">
        <v>7</v>
      </c>
      <c r="H66" t="s">
        <v>525</v>
      </c>
      <c r="I66">
        <f>IF(COUNTIF(OFICIAL!$C$74:$D$88, D66) &gt; 0, 1, 0)</f>
        <v>0</v>
      </c>
    </row>
    <row r="67" spans="1:10" x14ac:dyDescent="0.25">
      <c r="A67" t="s">
        <v>63</v>
      </c>
      <c r="B67" t="s">
        <v>55</v>
      </c>
      <c r="C67">
        <v>2</v>
      </c>
      <c r="D67" t="s">
        <v>57</v>
      </c>
      <c r="E67">
        <v>7</v>
      </c>
      <c r="F67">
        <v>3</v>
      </c>
      <c r="G67">
        <v>5</v>
      </c>
      <c r="H67" t="s">
        <v>525</v>
      </c>
      <c r="I67">
        <f>IF(COUNTIF(OFICIAL!$C$74:$D$88, D67) &gt; 0, 1, 0)</f>
        <v>0</v>
      </c>
    </row>
    <row r="68" spans="1:10" x14ac:dyDescent="0.25">
      <c r="A68" t="s">
        <v>63</v>
      </c>
      <c r="B68" t="s">
        <v>55</v>
      </c>
      <c r="C68">
        <v>3</v>
      </c>
      <c r="D68" t="s">
        <v>58</v>
      </c>
      <c r="E68">
        <v>3</v>
      </c>
      <c r="F68">
        <v>0</v>
      </c>
      <c r="G68">
        <v>4</v>
      </c>
      <c r="H68" t="s">
        <v>536</v>
      </c>
      <c r="I68">
        <f>IF(COUNTIF(OFICIAL!$C$74:$D$88, D68) &gt; 0, 1, 0)</f>
        <v>0</v>
      </c>
    </row>
    <row r="70" spans="1:10" ht="18" customHeight="1" thickBot="1" x14ac:dyDescent="0.3">
      <c r="A70" s="23" t="s">
        <v>528</v>
      </c>
      <c r="B70" s="24"/>
      <c r="C70" s="24"/>
      <c r="D70" s="24"/>
      <c r="E70" s="24"/>
      <c r="F70" s="24"/>
      <c r="G70" s="24"/>
      <c r="H70" s="24"/>
      <c r="I70" s="24"/>
      <c r="J70" s="24"/>
    </row>
    <row r="71" spans="1:10" ht="15.75" thickBot="1" x14ac:dyDescent="0.3">
      <c r="A71" t="s">
        <v>65</v>
      </c>
      <c r="B71" t="s">
        <v>2</v>
      </c>
      <c r="C71">
        <v>1</v>
      </c>
      <c r="D71" t="s">
        <v>3</v>
      </c>
      <c r="E71">
        <v>9</v>
      </c>
      <c r="F71">
        <v>5</v>
      </c>
      <c r="G71">
        <v>6</v>
      </c>
      <c r="H71" t="s">
        <v>525</v>
      </c>
      <c r="I71">
        <f>IF(COUNTIF(OFICIAL!$C$74:$D$88, D71) &gt; 0, 1, 0)</f>
        <v>0</v>
      </c>
      <c r="J71" s="7">
        <f>SUM(I71:I102)</f>
        <v>0</v>
      </c>
    </row>
    <row r="72" spans="1:10" x14ac:dyDescent="0.25">
      <c r="A72" t="s">
        <v>65</v>
      </c>
      <c r="B72" t="s">
        <v>2</v>
      </c>
      <c r="C72">
        <v>2</v>
      </c>
      <c r="D72" t="s">
        <v>5</v>
      </c>
      <c r="E72">
        <v>4</v>
      </c>
      <c r="F72">
        <v>0</v>
      </c>
      <c r="G72">
        <v>3</v>
      </c>
      <c r="H72" t="s">
        <v>525</v>
      </c>
      <c r="I72">
        <f>IF(COUNTIF(OFICIAL!$C$74:$D$88, D72) &gt; 0, 1, 0)</f>
        <v>0</v>
      </c>
    </row>
    <row r="73" spans="1:10" x14ac:dyDescent="0.25">
      <c r="A73" t="s">
        <v>65</v>
      </c>
      <c r="B73" t="s">
        <v>2</v>
      </c>
      <c r="C73">
        <v>3</v>
      </c>
      <c r="D73" t="s">
        <v>6</v>
      </c>
      <c r="E73">
        <v>2</v>
      </c>
      <c r="F73">
        <v>-2</v>
      </c>
      <c r="G73">
        <v>2</v>
      </c>
      <c r="H73" t="s">
        <v>536</v>
      </c>
      <c r="I73">
        <f>IF(COUNTIF(OFICIAL!$C$74:$D$88, D73) &gt; 0, 1, 0)</f>
        <v>0</v>
      </c>
    </row>
    <row r="74" spans="1:10" x14ac:dyDescent="0.25">
      <c r="A74" t="s">
        <v>65</v>
      </c>
      <c r="B74" t="s">
        <v>7</v>
      </c>
      <c r="C74">
        <v>1</v>
      </c>
      <c r="D74" t="s">
        <v>14</v>
      </c>
      <c r="E74">
        <v>7</v>
      </c>
      <c r="F74">
        <v>4</v>
      </c>
      <c r="G74">
        <v>5</v>
      </c>
      <c r="H74" t="s">
        <v>525</v>
      </c>
      <c r="I74">
        <f>IF(COUNTIF(OFICIAL!$C$74:$D$88, D74) &gt; 0, 1, 0)</f>
        <v>0</v>
      </c>
    </row>
    <row r="75" spans="1:10" x14ac:dyDescent="0.25">
      <c r="A75" t="s">
        <v>65</v>
      </c>
      <c r="B75" t="s">
        <v>7</v>
      </c>
      <c r="C75">
        <v>2</v>
      </c>
      <c r="D75" t="s">
        <v>8</v>
      </c>
      <c r="E75">
        <v>7</v>
      </c>
      <c r="F75">
        <v>2</v>
      </c>
      <c r="G75">
        <v>5</v>
      </c>
      <c r="H75" t="s">
        <v>525</v>
      </c>
      <c r="I75">
        <f>IF(COUNTIF(OFICIAL!$C$74:$D$88, D75) &gt; 0, 1, 0)</f>
        <v>0</v>
      </c>
    </row>
    <row r="76" spans="1:10" x14ac:dyDescent="0.25">
      <c r="A76" t="s">
        <v>65</v>
      </c>
      <c r="B76" t="s">
        <v>7</v>
      </c>
      <c r="C76">
        <v>3</v>
      </c>
      <c r="D76" t="s">
        <v>9</v>
      </c>
      <c r="E76">
        <v>3</v>
      </c>
      <c r="F76">
        <v>-2</v>
      </c>
      <c r="G76">
        <v>2</v>
      </c>
      <c r="H76" t="s">
        <v>536</v>
      </c>
      <c r="I76">
        <f>IF(COUNTIF(OFICIAL!$C$74:$D$88, D76) &gt; 0, 1, 0)</f>
        <v>0</v>
      </c>
    </row>
    <row r="77" spans="1:10" x14ac:dyDescent="0.25">
      <c r="A77" t="s">
        <v>65</v>
      </c>
      <c r="B77" t="s">
        <v>15</v>
      </c>
      <c r="C77">
        <v>1</v>
      </c>
      <c r="D77" t="s">
        <v>16</v>
      </c>
      <c r="E77">
        <v>9</v>
      </c>
      <c r="F77">
        <v>6</v>
      </c>
      <c r="G77">
        <v>7</v>
      </c>
      <c r="H77" t="s">
        <v>525</v>
      </c>
      <c r="I77">
        <f>IF(COUNTIF(OFICIAL!$C$74:$D$88, D77) &gt; 0, 1, 0)</f>
        <v>0</v>
      </c>
    </row>
    <row r="78" spans="1:10" x14ac:dyDescent="0.25">
      <c r="A78" t="s">
        <v>65</v>
      </c>
      <c r="B78" t="s">
        <v>15</v>
      </c>
      <c r="C78">
        <v>2</v>
      </c>
      <c r="D78" t="s">
        <v>17</v>
      </c>
      <c r="E78">
        <v>6</v>
      </c>
      <c r="F78">
        <v>2</v>
      </c>
      <c r="G78">
        <v>5</v>
      </c>
      <c r="H78" t="s">
        <v>525</v>
      </c>
      <c r="I78">
        <f>IF(COUNTIF(OFICIAL!$C$74:$D$88, D78) &gt; 0, 1, 0)</f>
        <v>0</v>
      </c>
    </row>
    <row r="79" spans="1:10" x14ac:dyDescent="0.25">
      <c r="A79" t="s">
        <v>65</v>
      </c>
      <c r="B79" t="s">
        <v>10</v>
      </c>
      <c r="C79">
        <v>1</v>
      </c>
      <c r="D79" t="s">
        <v>11</v>
      </c>
      <c r="E79">
        <v>9</v>
      </c>
      <c r="F79">
        <v>6</v>
      </c>
      <c r="G79">
        <v>7</v>
      </c>
      <c r="H79" t="s">
        <v>525</v>
      </c>
      <c r="I79">
        <f>IF(COUNTIF(OFICIAL!$C$74:$D$88, D79) &gt; 0, 1, 0)</f>
        <v>0</v>
      </c>
    </row>
    <row r="80" spans="1:10" x14ac:dyDescent="0.25">
      <c r="A80" t="s">
        <v>65</v>
      </c>
      <c r="B80" t="s">
        <v>10</v>
      </c>
      <c r="C80">
        <v>2</v>
      </c>
      <c r="D80" t="s">
        <v>21</v>
      </c>
      <c r="E80">
        <v>4</v>
      </c>
      <c r="F80">
        <v>-1</v>
      </c>
      <c r="G80">
        <v>3</v>
      </c>
      <c r="H80" t="s">
        <v>525</v>
      </c>
      <c r="I80">
        <f>IF(COUNTIF(OFICIAL!$C$74:$D$88, D80) &gt; 0, 1, 0)</f>
        <v>0</v>
      </c>
    </row>
    <row r="81" spans="1:9" x14ac:dyDescent="0.25">
      <c r="A81" t="s">
        <v>65</v>
      </c>
      <c r="B81" t="s">
        <v>10</v>
      </c>
      <c r="C81">
        <v>3</v>
      </c>
      <c r="D81" t="s">
        <v>20</v>
      </c>
      <c r="E81">
        <v>2</v>
      </c>
      <c r="F81">
        <v>-2</v>
      </c>
      <c r="G81">
        <v>3</v>
      </c>
      <c r="H81" t="s">
        <v>536</v>
      </c>
      <c r="I81">
        <f>IF(COUNTIF(OFICIAL!$C$74:$D$88, D81) &gt; 0, 1, 0)</f>
        <v>0</v>
      </c>
    </row>
    <row r="82" spans="1:9" x14ac:dyDescent="0.25">
      <c r="A82" t="s">
        <v>65</v>
      </c>
      <c r="B82" t="s">
        <v>22</v>
      </c>
      <c r="C82">
        <v>1</v>
      </c>
      <c r="D82" t="s">
        <v>23</v>
      </c>
      <c r="E82">
        <v>9</v>
      </c>
      <c r="F82">
        <v>7</v>
      </c>
      <c r="G82">
        <v>8</v>
      </c>
      <c r="H82" t="s">
        <v>525</v>
      </c>
      <c r="I82">
        <f>IF(COUNTIF(OFICIAL!$C$74:$D$88, D82) &gt; 0, 1, 0)</f>
        <v>0</v>
      </c>
    </row>
    <row r="83" spans="1:9" x14ac:dyDescent="0.25">
      <c r="A83" t="s">
        <v>65</v>
      </c>
      <c r="B83" t="s">
        <v>22</v>
      </c>
      <c r="C83">
        <v>2</v>
      </c>
      <c r="D83" t="s">
        <v>29</v>
      </c>
      <c r="E83">
        <v>4</v>
      </c>
      <c r="F83">
        <v>0</v>
      </c>
      <c r="G83">
        <v>3</v>
      </c>
      <c r="H83" t="s">
        <v>525</v>
      </c>
      <c r="I83">
        <f>IF(COUNTIF(OFICIAL!$C$74:$D$88, D83) &gt; 0, 1, 0)</f>
        <v>0</v>
      </c>
    </row>
    <row r="84" spans="1:9" x14ac:dyDescent="0.25">
      <c r="A84" t="s">
        <v>65</v>
      </c>
      <c r="B84" t="s">
        <v>22</v>
      </c>
      <c r="C84">
        <v>3</v>
      </c>
      <c r="D84" t="s">
        <v>28</v>
      </c>
      <c r="E84">
        <v>4</v>
      </c>
      <c r="F84">
        <v>-1</v>
      </c>
      <c r="G84">
        <v>3</v>
      </c>
      <c r="H84" t="s">
        <v>536</v>
      </c>
      <c r="I84">
        <f>IF(COUNTIF(OFICIAL!$C$74:$D$88, D84) &gt; 0, 1, 0)</f>
        <v>0</v>
      </c>
    </row>
    <row r="85" spans="1:9" x14ac:dyDescent="0.25">
      <c r="A85" t="s">
        <v>65</v>
      </c>
      <c r="B85" t="s">
        <v>25</v>
      </c>
      <c r="C85">
        <v>1</v>
      </c>
      <c r="D85" t="s">
        <v>26</v>
      </c>
      <c r="E85">
        <v>9</v>
      </c>
      <c r="F85">
        <v>5</v>
      </c>
      <c r="G85">
        <v>7</v>
      </c>
      <c r="H85" t="s">
        <v>525</v>
      </c>
      <c r="I85">
        <f>IF(COUNTIF(OFICIAL!$C$74:$D$88, D85) &gt; 0, 1, 0)</f>
        <v>0</v>
      </c>
    </row>
    <row r="86" spans="1:9" x14ac:dyDescent="0.25">
      <c r="A86" t="s">
        <v>65</v>
      </c>
      <c r="B86" t="s">
        <v>25</v>
      </c>
      <c r="C86">
        <v>2</v>
      </c>
      <c r="D86" t="s">
        <v>27</v>
      </c>
      <c r="E86">
        <v>4</v>
      </c>
      <c r="F86">
        <v>1</v>
      </c>
      <c r="G86">
        <v>4</v>
      </c>
      <c r="H86" t="s">
        <v>525</v>
      </c>
      <c r="I86">
        <f>IF(COUNTIF(OFICIAL!$C$74:$D$88, D86) &gt; 0, 1, 0)</f>
        <v>0</v>
      </c>
    </row>
    <row r="87" spans="1:9" x14ac:dyDescent="0.25">
      <c r="A87" t="s">
        <v>65</v>
      </c>
      <c r="B87" t="s">
        <v>25</v>
      </c>
      <c r="C87">
        <v>3</v>
      </c>
      <c r="D87" t="s">
        <v>30</v>
      </c>
      <c r="E87">
        <v>4</v>
      </c>
      <c r="F87">
        <v>-1</v>
      </c>
      <c r="G87">
        <v>3</v>
      </c>
      <c r="H87" t="s">
        <v>536</v>
      </c>
      <c r="I87">
        <f>IF(COUNTIF(OFICIAL!$C$74:$D$88, D87) &gt; 0, 1, 0)</f>
        <v>0</v>
      </c>
    </row>
    <row r="88" spans="1:9" x14ac:dyDescent="0.25">
      <c r="A88" t="s">
        <v>65</v>
      </c>
      <c r="B88" t="s">
        <v>35</v>
      </c>
      <c r="C88">
        <v>1</v>
      </c>
      <c r="D88" t="s">
        <v>36</v>
      </c>
      <c r="E88">
        <v>9</v>
      </c>
      <c r="F88">
        <v>6</v>
      </c>
      <c r="G88">
        <v>6</v>
      </c>
      <c r="H88" t="s">
        <v>525</v>
      </c>
      <c r="I88">
        <f>IF(COUNTIF(OFICIAL!$C$74:$D$88, D88) &gt; 0, 1, 0)</f>
        <v>0</v>
      </c>
    </row>
    <row r="89" spans="1:9" x14ac:dyDescent="0.25">
      <c r="A89" t="s">
        <v>65</v>
      </c>
      <c r="B89" t="s">
        <v>35</v>
      </c>
      <c r="C89">
        <v>2</v>
      </c>
      <c r="D89" t="s">
        <v>37</v>
      </c>
      <c r="E89">
        <v>4</v>
      </c>
      <c r="F89">
        <v>1</v>
      </c>
      <c r="G89">
        <v>3</v>
      </c>
      <c r="H89" t="s">
        <v>525</v>
      </c>
      <c r="I89">
        <f>IF(COUNTIF(OFICIAL!$C$74:$D$88, D89) &gt; 0, 1, 0)</f>
        <v>0</v>
      </c>
    </row>
    <row r="90" spans="1:9" x14ac:dyDescent="0.25">
      <c r="A90" t="s">
        <v>65</v>
      </c>
      <c r="B90" t="s">
        <v>35</v>
      </c>
      <c r="C90">
        <v>3</v>
      </c>
      <c r="D90" t="s">
        <v>40</v>
      </c>
      <c r="E90">
        <v>4</v>
      </c>
      <c r="F90">
        <v>-1</v>
      </c>
      <c r="G90">
        <v>3</v>
      </c>
      <c r="H90" t="s">
        <v>536</v>
      </c>
      <c r="I90">
        <f>IF(COUNTIF(OFICIAL!$C$74:$D$88, D90) &gt; 0, 1, 0)</f>
        <v>0</v>
      </c>
    </row>
    <row r="91" spans="1:9" x14ac:dyDescent="0.25">
      <c r="A91" t="s">
        <v>65</v>
      </c>
      <c r="B91" t="s">
        <v>32</v>
      </c>
      <c r="C91">
        <v>1</v>
      </c>
      <c r="D91" t="s">
        <v>33</v>
      </c>
      <c r="E91">
        <v>9</v>
      </c>
      <c r="F91">
        <v>6</v>
      </c>
      <c r="G91">
        <v>7</v>
      </c>
      <c r="H91" t="s">
        <v>525</v>
      </c>
      <c r="I91">
        <f>IF(COUNTIF(OFICIAL!$C$74:$D$88, D91) &gt; 0, 1, 0)</f>
        <v>0</v>
      </c>
    </row>
    <row r="92" spans="1:9" x14ac:dyDescent="0.25">
      <c r="A92" t="s">
        <v>65</v>
      </c>
      <c r="B92" t="s">
        <v>32</v>
      </c>
      <c r="C92">
        <v>2</v>
      </c>
      <c r="D92" t="s">
        <v>39</v>
      </c>
      <c r="E92">
        <v>6</v>
      </c>
      <c r="F92">
        <v>2</v>
      </c>
      <c r="G92">
        <v>5</v>
      </c>
      <c r="H92" t="s">
        <v>525</v>
      </c>
      <c r="I92">
        <f>IF(COUNTIF(OFICIAL!$C$74:$D$88, D92) &gt; 0, 1, 0)</f>
        <v>0</v>
      </c>
    </row>
    <row r="93" spans="1:9" x14ac:dyDescent="0.25">
      <c r="A93" t="s">
        <v>65</v>
      </c>
      <c r="B93" t="s">
        <v>42</v>
      </c>
      <c r="C93">
        <v>1</v>
      </c>
      <c r="D93" t="s">
        <v>43</v>
      </c>
      <c r="E93">
        <v>9</v>
      </c>
      <c r="F93">
        <v>6</v>
      </c>
      <c r="G93">
        <v>7</v>
      </c>
      <c r="H93" t="s">
        <v>525</v>
      </c>
      <c r="I93">
        <f>IF(COUNTIF(OFICIAL!$C$74:$D$88, D93) &gt; 0, 1, 0)</f>
        <v>0</v>
      </c>
    </row>
    <row r="94" spans="1:9" x14ac:dyDescent="0.25">
      <c r="A94" t="s">
        <v>65</v>
      </c>
      <c r="B94" t="s">
        <v>42</v>
      </c>
      <c r="C94">
        <v>2</v>
      </c>
      <c r="D94" t="s">
        <v>44</v>
      </c>
      <c r="E94">
        <v>4</v>
      </c>
      <c r="F94">
        <v>1</v>
      </c>
      <c r="G94">
        <v>4</v>
      </c>
      <c r="H94" t="s">
        <v>525</v>
      </c>
      <c r="I94">
        <f>IF(COUNTIF(OFICIAL!$C$74:$D$88, D94) &gt; 0, 1, 0)</f>
        <v>0</v>
      </c>
    </row>
    <row r="95" spans="1:9" x14ac:dyDescent="0.25">
      <c r="A95" t="s">
        <v>65</v>
      </c>
      <c r="B95" t="s">
        <v>42</v>
      </c>
      <c r="C95">
        <v>3</v>
      </c>
      <c r="D95" t="s">
        <v>46</v>
      </c>
      <c r="E95">
        <v>2</v>
      </c>
      <c r="F95">
        <v>-2</v>
      </c>
      <c r="G95">
        <v>2</v>
      </c>
      <c r="H95" t="s">
        <v>536</v>
      </c>
      <c r="I95">
        <f>IF(COUNTIF(OFICIAL!$C$74:$D$88, D95) &gt; 0, 1, 0)</f>
        <v>0</v>
      </c>
    </row>
    <row r="96" spans="1:9" x14ac:dyDescent="0.25">
      <c r="A96" t="s">
        <v>65</v>
      </c>
      <c r="B96" t="s">
        <v>47</v>
      </c>
      <c r="C96">
        <v>1</v>
      </c>
      <c r="D96" t="s">
        <v>48</v>
      </c>
      <c r="E96">
        <v>9</v>
      </c>
      <c r="F96">
        <v>6</v>
      </c>
      <c r="G96">
        <v>7</v>
      </c>
      <c r="H96" t="s">
        <v>525</v>
      </c>
      <c r="I96">
        <f>IF(COUNTIF(OFICIAL!$C$74:$D$88, D96) &gt; 0, 1, 0)</f>
        <v>0</v>
      </c>
    </row>
    <row r="97" spans="1:10" x14ac:dyDescent="0.25">
      <c r="A97" t="s">
        <v>65</v>
      </c>
      <c r="B97" t="s">
        <v>47</v>
      </c>
      <c r="C97">
        <v>2</v>
      </c>
      <c r="D97" t="s">
        <v>50</v>
      </c>
      <c r="E97">
        <v>4</v>
      </c>
      <c r="F97">
        <v>-1</v>
      </c>
      <c r="G97">
        <v>3</v>
      </c>
      <c r="H97" t="s">
        <v>525</v>
      </c>
      <c r="I97">
        <f>IF(COUNTIF(OFICIAL!$C$74:$D$88, D97) &gt; 0, 1, 0)</f>
        <v>0</v>
      </c>
    </row>
    <row r="98" spans="1:10" x14ac:dyDescent="0.25">
      <c r="A98" t="s">
        <v>65</v>
      </c>
      <c r="B98" t="s">
        <v>47</v>
      </c>
      <c r="C98">
        <v>3</v>
      </c>
      <c r="D98" t="s">
        <v>49</v>
      </c>
      <c r="E98">
        <v>3</v>
      </c>
      <c r="F98">
        <v>-1</v>
      </c>
      <c r="G98">
        <v>3</v>
      </c>
      <c r="H98" t="s">
        <v>536</v>
      </c>
      <c r="I98">
        <f>IF(COUNTIF(OFICIAL!$C$74:$D$88, D98) &gt; 0, 1, 0)</f>
        <v>0</v>
      </c>
    </row>
    <row r="99" spans="1:10" x14ac:dyDescent="0.25">
      <c r="A99" t="s">
        <v>65</v>
      </c>
      <c r="B99" t="s">
        <v>52</v>
      </c>
      <c r="C99">
        <v>1</v>
      </c>
      <c r="D99" t="s">
        <v>53</v>
      </c>
      <c r="E99">
        <v>9</v>
      </c>
      <c r="F99">
        <v>7</v>
      </c>
      <c r="G99">
        <v>8</v>
      </c>
      <c r="H99" t="s">
        <v>525</v>
      </c>
      <c r="I99">
        <f>IF(COUNTIF(OFICIAL!$C$74:$D$88, D99) &gt; 0, 1, 0)</f>
        <v>0</v>
      </c>
    </row>
    <row r="100" spans="1:10" x14ac:dyDescent="0.25">
      <c r="A100" t="s">
        <v>65</v>
      </c>
      <c r="B100" t="s">
        <v>52</v>
      </c>
      <c r="C100">
        <v>2</v>
      </c>
      <c r="D100" t="s">
        <v>61</v>
      </c>
      <c r="E100">
        <v>6</v>
      </c>
      <c r="F100">
        <v>1</v>
      </c>
      <c r="G100">
        <v>5</v>
      </c>
      <c r="H100" t="s">
        <v>525</v>
      </c>
      <c r="I100">
        <f>IF(COUNTIF(OFICIAL!$C$74:$D$88, D100) &gt; 0, 1, 0)</f>
        <v>0</v>
      </c>
    </row>
    <row r="101" spans="1:10" x14ac:dyDescent="0.25">
      <c r="A101" t="s">
        <v>65</v>
      </c>
      <c r="B101" t="s">
        <v>55</v>
      </c>
      <c r="C101">
        <v>1</v>
      </c>
      <c r="D101" t="s">
        <v>56</v>
      </c>
      <c r="E101">
        <v>9</v>
      </c>
      <c r="F101">
        <v>7</v>
      </c>
      <c r="G101">
        <v>9</v>
      </c>
      <c r="H101" t="s">
        <v>525</v>
      </c>
      <c r="I101">
        <f>IF(COUNTIF(OFICIAL!$C$74:$D$88, D101) &gt; 0, 1, 0)</f>
        <v>0</v>
      </c>
    </row>
    <row r="102" spans="1:10" x14ac:dyDescent="0.25">
      <c r="A102" t="s">
        <v>65</v>
      </c>
      <c r="B102" t="s">
        <v>55</v>
      </c>
      <c r="C102">
        <v>2</v>
      </c>
      <c r="D102" t="s">
        <v>57</v>
      </c>
      <c r="E102">
        <v>6</v>
      </c>
      <c r="F102">
        <v>3</v>
      </c>
      <c r="G102">
        <v>5</v>
      </c>
      <c r="H102" t="s">
        <v>525</v>
      </c>
      <c r="I102">
        <f>IF(COUNTIF(OFICIAL!$C$74:$D$88, D102) &gt; 0, 1, 0)</f>
        <v>0</v>
      </c>
    </row>
    <row r="104" spans="1:10" ht="15.75" thickBot="1" x14ac:dyDescent="0.3">
      <c r="A104" s="23" t="s">
        <v>529</v>
      </c>
      <c r="B104" s="24"/>
      <c r="C104" s="24"/>
      <c r="D104" s="24"/>
      <c r="E104" s="24"/>
      <c r="F104" s="24"/>
      <c r="G104" s="24"/>
      <c r="H104" s="24"/>
      <c r="I104" s="24"/>
      <c r="J104" s="24"/>
    </row>
    <row r="105" spans="1:10" ht="15.75" thickBot="1" x14ac:dyDescent="0.3">
      <c r="A105" t="s">
        <v>67</v>
      </c>
      <c r="B105" t="s">
        <v>2</v>
      </c>
      <c r="C105">
        <v>1</v>
      </c>
      <c r="D105" t="s">
        <v>3</v>
      </c>
      <c r="E105">
        <v>7</v>
      </c>
      <c r="F105">
        <v>3</v>
      </c>
      <c r="G105">
        <v>5</v>
      </c>
      <c r="H105" t="s">
        <v>525</v>
      </c>
      <c r="I105">
        <f>IF(COUNTIF(OFICIAL!$C$74:$D$88, D105) &gt; 0, 1, 0)</f>
        <v>0</v>
      </c>
      <c r="J105" s="7">
        <f>SUM(I105:I136)</f>
        <v>0</v>
      </c>
    </row>
    <row r="106" spans="1:10" x14ac:dyDescent="0.25">
      <c r="A106" t="s">
        <v>67</v>
      </c>
      <c r="B106" t="s">
        <v>2</v>
      </c>
      <c r="C106">
        <v>2</v>
      </c>
      <c r="D106" t="s">
        <v>5</v>
      </c>
      <c r="E106">
        <v>4</v>
      </c>
      <c r="F106">
        <v>0</v>
      </c>
      <c r="G106">
        <v>4</v>
      </c>
      <c r="H106" t="s">
        <v>525</v>
      </c>
      <c r="I106">
        <f>IF(COUNTIF(OFICIAL!$C$74:$D$88, D106) &gt; 0, 1, 0)</f>
        <v>0</v>
      </c>
    </row>
    <row r="107" spans="1:10" x14ac:dyDescent="0.25">
      <c r="A107" t="s">
        <v>67</v>
      </c>
      <c r="B107" t="s">
        <v>2</v>
      </c>
      <c r="C107">
        <v>3</v>
      </c>
      <c r="D107" t="s">
        <v>6</v>
      </c>
      <c r="E107">
        <v>3</v>
      </c>
      <c r="F107">
        <v>0</v>
      </c>
      <c r="G107">
        <v>3</v>
      </c>
      <c r="H107" t="s">
        <v>536</v>
      </c>
      <c r="I107">
        <f>IF(COUNTIF(OFICIAL!$C$74:$D$88, D107) &gt; 0, 1, 0)</f>
        <v>0</v>
      </c>
    </row>
    <row r="108" spans="1:10" x14ac:dyDescent="0.25">
      <c r="A108" t="s">
        <v>67</v>
      </c>
      <c r="B108" t="s">
        <v>7</v>
      </c>
      <c r="C108">
        <v>1</v>
      </c>
      <c r="D108" t="s">
        <v>8</v>
      </c>
      <c r="E108">
        <v>9</v>
      </c>
      <c r="F108">
        <v>5</v>
      </c>
      <c r="G108">
        <v>7</v>
      </c>
      <c r="H108" t="s">
        <v>525</v>
      </c>
      <c r="I108">
        <f>IF(COUNTIF(OFICIAL!$C$74:$D$88, D108) &gt; 0, 1, 0)</f>
        <v>0</v>
      </c>
    </row>
    <row r="109" spans="1:10" x14ac:dyDescent="0.25">
      <c r="A109" t="s">
        <v>67</v>
      </c>
      <c r="B109" t="s">
        <v>7</v>
      </c>
      <c r="C109">
        <v>2</v>
      </c>
      <c r="D109" t="s">
        <v>9</v>
      </c>
      <c r="E109">
        <v>4</v>
      </c>
      <c r="F109">
        <v>1</v>
      </c>
      <c r="G109">
        <v>4</v>
      </c>
      <c r="H109" t="s">
        <v>525</v>
      </c>
      <c r="I109">
        <f>IF(COUNTIF(OFICIAL!$C$74:$D$88, D109) &gt; 0, 1, 0)</f>
        <v>0</v>
      </c>
    </row>
    <row r="110" spans="1:10" x14ac:dyDescent="0.25">
      <c r="A110" t="s">
        <v>67</v>
      </c>
      <c r="B110" t="s">
        <v>7</v>
      </c>
      <c r="C110">
        <v>3</v>
      </c>
      <c r="D110" t="s">
        <v>14</v>
      </c>
      <c r="E110">
        <v>4</v>
      </c>
      <c r="F110">
        <v>1</v>
      </c>
      <c r="G110">
        <v>4</v>
      </c>
      <c r="H110" t="s">
        <v>536</v>
      </c>
      <c r="I110">
        <f>IF(COUNTIF(OFICIAL!$C$74:$D$88, D110) &gt; 0, 1, 0)</f>
        <v>0</v>
      </c>
    </row>
    <row r="111" spans="1:10" x14ac:dyDescent="0.25">
      <c r="A111" t="s">
        <v>67</v>
      </c>
      <c r="B111" t="s">
        <v>15</v>
      </c>
      <c r="C111">
        <v>1</v>
      </c>
      <c r="D111" t="s">
        <v>16</v>
      </c>
      <c r="E111">
        <v>9</v>
      </c>
      <c r="F111">
        <v>6</v>
      </c>
      <c r="G111">
        <v>8</v>
      </c>
      <c r="H111" t="s">
        <v>525</v>
      </c>
      <c r="I111">
        <f>IF(COUNTIF(OFICIAL!$C$74:$D$88, D111) &gt; 0, 1, 0)</f>
        <v>0</v>
      </c>
    </row>
    <row r="112" spans="1:10" x14ac:dyDescent="0.25">
      <c r="A112" t="s">
        <v>67</v>
      </c>
      <c r="B112" t="s">
        <v>15</v>
      </c>
      <c r="C112">
        <v>2</v>
      </c>
      <c r="D112" t="s">
        <v>17</v>
      </c>
      <c r="E112">
        <v>6</v>
      </c>
      <c r="F112">
        <v>3</v>
      </c>
      <c r="G112">
        <v>5</v>
      </c>
      <c r="H112" t="s">
        <v>525</v>
      </c>
      <c r="I112">
        <f>IF(COUNTIF(OFICIAL!$C$74:$D$88, D112) &gt; 0, 1, 0)</f>
        <v>0</v>
      </c>
    </row>
    <row r="113" spans="1:9" x14ac:dyDescent="0.25">
      <c r="A113" t="s">
        <v>67</v>
      </c>
      <c r="B113" t="s">
        <v>10</v>
      </c>
      <c r="C113">
        <v>1</v>
      </c>
      <c r="D113" t="s">
        <v>11</v>
      </c>
      <c r="E113">
        <v>7</v>
      </c>
      <c r="F113">
        <v>3</v>
      </c>
      <c r="G113">
        <v>6</v>
      </c>
      <c r="H113" t="s">
        <v>525</v>
      </c>
      <c r="I113">
        <f>IF(COUNTIF(OFICIAL!$C$74:$D$88, D113) &gt; 0, 1, 0)</f>
        <v>0</v>
      </c>
    </row>
    <row r="114" spans="1:9" x14ac:dyDescent="0.25">
      <c r="A114" t="s">
        <v>67</v>
      </c>
      <c r="B114" t="s">
        <v>10</v>
      </c>
      <c r="C114">
        <v>2</v>
      </c>
      <c r="D114" t="s">
        <v>21</v>
      </c>
      <c r="E114">
        <v>5</v>
      </c>
      <c r="F114">
        <v>1</v>
      </c>
      <c r="G114">
        <v>5</v>
      </c>
      <c r="H114" t="s">
        <v>525</v>
      </c>
      <c r="I114">
        <f>IF(COUNTIF(OFICIAL!$C$74:$D$88, D114) &gt; 0, 1, 0)</f>
        <v>0</v>
      </c>
    </row>
    <row r="115" spans="1:9" x14ac:dyDescent="0.25">
      <c r="A115" t="s">
        <v>67</v>
      </c>
      <c r="B115" t="s">
        <v>10</v>
      </c>
      <c r="C115">
        <v>3</v>
      </c>
      <c r="D115" t="s">
        <v>12</v>
      </c>
      <c r="E115">
        <v>4</v>
      </c>
      <c r="F115">
        <v>0</v>
      </c>
      <c r="G115">
        <v>3</v>
      </c>
      <c r="H115" t="s">
        <v>536</v>
      </c>
      <c r="I115">
        <f>IF(COUNTIF(OFICIAL!$C$74:$D$88, D115) &gt; 0, 1, 0)</f>
        <v>0</v>
      </c>
    </row>
    <row r="116" spans="1:9" x14ac:dyDescent="0.25">
      <c r="A116" t="s">
        <v>67</v>
      </c>
      <c r="B116" t="s">
        <v>22</v>
      </c>
      <c r="C116">
        <v>1</v>
      </c>
      <c r="D116" t="s">
        <v>23</v>
      </c>
      <c r="E116">
        <v>9</v>
      </c>
      <c r="F116">
        <v>6</v>
      </c>
      <c r="G116">
        <v>8</v>
      </c>
      <c r="H116" t="s">
        <v>525</v>
      </c>
      <c r="I116">
        <f>IF(COUNTIF(OFICIAL!$C$74:$D$88, D116) &gt; 0, 1, 0)</f>
        <v>0</v>
      </c>
    </row>
    <row r="117" spans="1:9" x14ac:dyDescent="0.25">
      <c r="A117" t="s">
        <v>67</v>
      </c>
      <c r="B117" t="s">
        <v>22</v>
      </c>
      <c r="C117">
        <v>2</v>
      </c>
      <c r="D117" t="s">
        <v>28</v>
      </c>
      <c r="E117">
        <v>4</v>
      </c>
      <c r="F117">
        <v>2</v>
      </c>
      <c r="G117">
        <v>5</v>
      </c>
      <c r="H117" t="s">
        <v>525</v>
      </c>
      <c r="I117">
        <f>IF(COUNTIF(OFICIAL!$C$74:$D$88, D117) &gt; 0, 1, 0)</f>
        <v>0</v>
      </c>
    </row>
    <row r="118" spans="1:9" x14ac:dyDescent="0.25">
      <c r="A118" t="s">
        <v>67</v>
      </c>
      <c r="B118" t="s">
        <v>22</v>
      </c>
      <c r="C118">
        <v>3</v>
      </c>
      <c r="D118" t="s">
        <v>29</v>
      </c>
      <c r="E118">
        <v>4</v>
      </c>
      <c r="F118">
        <v>1</v>
      </c>
      <c r="G118">
        <v>4</v>
      </c>
      <c r="H118" t="s">
        <v>536</v>
      </c>
      <c r="I118">
        <f>IF(COUNTIF(OFICIAL!$C$74:$D$88, D118) &gt; 0, 1, 0)</f>
        <v>0</v>
      </c>
    </row>
    <row r="119" spans="1:9" x14ac:dyDescent="0.25">
      <c r="A119" t="s">
        <v>67</v>
      </c>
      <c r="B119" t="s">
        <v>25</v>
      </c>
      <c r="C119">
        <v>1</v>
      </c>
      <c r="D119" t="s">
        <v>27</v>
      </c>
      <c r="E119">
        <v>7</v>
      </c>
      <c r="F119">
        <v>3</v>
      </c>
      <c r="G119">
        <v>5</v>
      </c>
      <c r="H119" t="s">
        <v>525</v>
      </c>
      <c r="I119">
        <f>IF(COUNTIF(OFICIAL!$C$74:$D$88, D119) &gt; 0, 1, 0)</f>
        <v>0</v>
      </c>
    </row>
    <row r="120" spans="1:9" x14ac:dyDescent="0.25">
      <c r="A120" t="s">
        <v>67</v>
      </c>
      <c r="B120" t="s">
        <v>25</v>
      </c>
      <c r="C120">
        <v>2</v>
      </c>
      <c r="D120" t="s">
        <v>26</v>
      </c>
      <c r="E120">
        <v>7</v>
      </c>
      <c r="F120">
        <v>3</v>
      </c>
      <c r="G120">
        <v>5</v>
      </c>
      <c r="H120" t="s">
        <v>525</v>
      </c>
      <c r="I120">
        <f>IF(COUNTIF(OFICIAL!$C$74:$D$88, D120) &gt; 0, 1, 0)</f>
        <v>0</v>
      </c>
    </row>
    <row r="121" spans="1:9" x14ac:dyDescent="0.25">
      <c r="A121" t="s">
        <v>67</v>
      </c>
      <c r="B121" t="s">
        <v>35</v>
      </c>
      <c r="C121">
        <v>1</v>
      </c>
      <c r="D121" t="s">
        <v>36</v>
      </c>
      <c r="E121">
        <v>9</v>
      </c>
      <c r="F121">
        <v>6</v>
      </c>
      <c r="G121">
        <v>7</v>
      </c>
      <c r="H121" t="s">
        <v>525</v>
      </c>
      <c r="I121">
        <f>IF(COUNTIF(OFICIAL!$C$74:$D$88, D121) &gt; 0, 1, 0)</f>
        <v>0</v>
      </c>
    </row>
    <row r="122" spans="1:9" x14ac:dyDescent="0.25">
      <c r="A122" t="s">
        <v>67</v>
      </c>
      <c r="B122" t="s">
        <v>35</v>
      </c>
      <c r="C122">
        <v>2</v>
      </c>
      <c r="D122" t="s">
        <v>37</v>
      </c>
      <c r="E122">
        <v>4</v>
      </c>
      <c r="F122">
        <v>1</v>
      </c>
      <c r="G122">
        <v>4</v>
      </c>
      <c r="H122" t="s">
        <v>525</v>
      </c>
      <c r="I122">
        <f>IF(COUNTIF(OFICIAL!$C$74:$D$88, D122) &gt; 0, 1, 0)</f>
        <v>0</v>
      </c>
    </row>
    <row r="123" spans="1:9" x14ac:dyDescent="0.25">
      <c r="A123" t="s">
        <v>67</v>
      </c>
      <c r="B123" t="s">
        <v>35</v>
      </c>
      <c r="C123">
        <v>3</v>
      </c>
      <c r="D123" t="s">
        <v>40</v>
      </c>
      <c r="E123">
        <v>4</v>
      </c>
      <c r="F123">
        <v>-1</v>
      </c>
      <c r="G123">
        <v>2</v>
      </c>
      <c r="H123" t="s">
        <v>536</v>
      </c>
      <c r="I123">
        <f>IF(COUNTIF(OFICIAL!$C$74:$D$88, D123) &gt; 0, 1, 0)</f>
        <v>0</v>
      </c>
    </row>
    <row r="124" spans="1:9" x14ac:dyDescent="0.25">
      <c r="A124" t="s">
        <v>67</v>
      </c>
      <c r="B124" t="s">
        <v>32</v>
      </c>
      <c r="C124">
        <v>1</v>
      </c>
      <c r="D124" t="s">
        <v>33</v>
      </c>
      <c r="E124">
        <v>9</v>
      </c>
      <c r="F124">
        <v>6</v>
      </c>
      <c r="G124">
        <v>7</v>
      </c>
      <c r="H124" t="s">
        <v>525</v>
      </c>
      <c r="I124">
        <f>IF(COUNTIF(OFICIAL!$C$74:$D$88, D124) &gt; 0, 1, 0)</f>
        <v>0</v>
      </c>
    </row>
    <row r="125" spans="1:9" x14ac:dyDescent="0.25">
      <c r="A125" t="s">
        <v>67</v>
      </c>
      <c r="B125" t="s">
        <v>32</v>
      </c>
      <c r="C125">
        <v>2</v>
      </c>
      <c r="D125" t="s">
        <v>39</v>
      </c>
      <c r="E125">
        <v>6</v>
      </c>
      <c r="F125">
        <v>2</v>
      </c>
      <c r="G125">
        <v>5</v>
      </c>
      <c r="H125" t="s">
        <v>525</v>
      </c>
      <c r="I125">
        <f>IF(COUNTIF(OFICIAL!$C$74:$D$88, D125) &gt; 0, 1, 0)</f>
        <v>0</v>
      </c>
    </row>
    <row r="126" spans="1:9" x14ac:dyDescent="0.25">
      <c r="A126" t="s">
        <v>67</v>
      </c>
      <c r="B126" t="s">
        <v>42</v>
      </c>
      <c r="C126">
        <v>1</v>
      </c>
      <c r="D126" t="s">
        <v>43</v>
      </c>
      <c r="E126">
        <v>9</v>
      </c>
      <c r="F126">
        <v>5</v>
      </c>
      <c r="G126">
        <v>7</v>
      </c>
      <c r="H126" t="s">
        <v>525</v>
      </c>
      <c r="I126">
        <f>IF(COUNTIF(OFICIAL!$C$74:$D$88, D126) &gt; 0, 1, 0)</f>
        <v>0</v>
      </c>
    </row>
    <row r="127" spans="1:9" x14ac:dyDescent="0.25">
      <c r="A127" t="s">
        <v>67</v>
      </c>
      <c r="B127" t="s">
        <v>42</v>
      </c>
      <c r="C127">
        <v>2</v>
      </c>
      <c r="D127" t="s">
        <v>46</v>
      </c>
      <c r="E127">
        <v>4</v>
      </c>
      <c r="F127">
        <v>1</v>
      </c>
      <c r="G127">
        <v>4</v>
      </c>
      <c r="H127" t="s">
        <v>525</v>
      </c>
      <c r="I127">
        <f>IF(COUNTIF(OFICIAL!$C$74:$D$88, D127) &gt; 0, 1, 0)</f>
        <v>0</v>
      </c>
    </row>
    <row r="128" spans="1:9" x14ac:dyDescent="0.25">
      <c r="A128" t="s">
        <v>67</v>
      </c>
      <c r="B128" t="s">
        <v>42</v>
      </c>
      <c r="C128">
        <v>3</v>
      </c>
      <c r="D128" t="s">
        <v>44</v>
      </c>
      <c r="E128">
        <v>4</v>
      </c>
      <c r="F128">
        <v>1</v>
      </c>
      <c r="G128">
        <v>4</v>
      </c>
      <c r="H128" t="s">
        <v>536</v>
      </c>
      <c r="I128">
        <f>IF(COUNTIF(OFICIAL!$C$74:$D$88, D128) &gt; 0, 1, 0)</f>
        <v>0</v>
      </c>
    </row>
    <row r="129" spans="1:10" x14ac:dyDescent="0.25">
      <c r="A129" t="s">
        <v>67</v>
      </c>
      <c r="B129" t="s">
        <v>47</v>
      </c>
      <c r="C129">
        <v>1</v>
      </c>
      <c r="D129" t="s">
        <v>48</v>
      </c>
      <c r="E129">
        <v>9</v>
      </c>
      <c r="F129">
        <v>6</v>
      </c>
      <c r="G129">
        <v>7</v>
      </c>
      <c r="H129" t="s">
        <v>525</v>
      </c>
      <c r="I129">
        <f>IF(COUNTIF(OFICIAL!$C$74:$D$88, D129) &gt; 0, 1, 0)</f>
        <v>0</v>
      </c>
    </row>
    <row r="130" spans="1:10" x14ac:dyDescent="0.25">
      <c r="A130" t="s">
        <v>67</v>
      </c>
      <c r="B130" t="s">
        <v>47</v>
      </c>
      <c r="C130">
        <v>2</v>
      </c>
      <c r="D130" t="s">
        <v>50</v>
      </c>
      <c r="E130">
        <v>4</v>
      </c>
      <c r="F130">
        <v>1</v>
      </c>
      <c r="G130">
        <v>4</v>
      </c>
      <c r="H130" t="s">
        <v>525</v>
      </c>
      <c r="I130">
        <f>IF(COUNTIF(OFICIAL!$C$74:$D$88, D130) &gt; 0, 1, 0)</f>
        <v>0</v>
      </c>
    </row>
    <row r="131" spans="1:10" x14ac:dyDescent="0.25">
      <c r="A131" t="s">
        <v>67</v>
      </c>
      <c r="B131" t="s">
        <v>47</v>
      </c>
      <c r="C131">
        <v>3</v>
      </c>
      <c r="D131" t="s">
        <v>49</v>
      </c>
      <c r="E131">
        <v>4</v>
      </c>
      <c r="F131">
        <v>-1</v>
      </c>
      <c r="G131">
        <v>2</v>
      </c>
      <c r="H131" t="s">
        <v>536</v>
      </c>
      <c r="I131">
        <f>IF(COUNTIF(OFICIAL!$C$74:$D$88, D131) &gt; 0, 1, 0)</f>
        <v>0</v>
      </c>
    </row>
    <row r="132" spans="1:10" x14ac:dyDescent="0.25">
      <c r="A132" t="s">
        <v>67</v>
      </c>
      <c r="B132" t="s">
        <v>52</v>
      </c>
      <c r="C132">
        <v>1</v>
      </c>
      <c r="D132" t="s">
        <v>53</v>
      </c>
      <c r="E132">
        <v>7</v>
      </c>
      <c r="F132">
        <v>5</v>
      </c>
      <c r="G132">
        <v>6</v>
      </c>
      <c r="H132" t="s">
        <v>525</v>
      </c>
      <c r="I132">
        <f>IF(COUNTIF(OFICIAL!$C$74:$D$88, D132) &gt; 0, 1, 0)</f>
        <v>0</v>
      </c>
    </row>
    <row r="133" spans="1:10" x14ac:dyDescent="0.25">
      <c r="A133" t="s">
        <v>67</v>
      </c>
      <c r="B133" t="s">
        <v>52</v>
      </c>
      <c r="C133">
        <v>2</v>
      </c>
      <c r="D133" t="s">
        <v>61</v>
      </c>
      <c r="E133">
        <v>7</v>
      </c>
      <c r="F133">
        <v>3</v>
      </c>
      <c r="G133">
        <v>5</v>
      </c>
      <c r="H133" t="s">
        <v>525</v>
      </c>
      <c r="I133">
        <f>IF(COUNTIF(OFICIAL!$C$74:$D$88, D133) &gt; 0, 1, 0)</f>
        <v>0</v>
      </c>
    </row>
    <row r="134" spans="1:10" x14ac:dyDescent="0.25">
      <c r="A134" t="s">
        <v>67</v>
      </c>
      <c r="B134" t="s">
        <v>55</v>
      </c>
      <c r="C134">
        <v>1</v>
      </c>
      <c r="D134" t="s">
        <v>56</v>
      </c>
      <c r="E134">
        <v>9</v>
      </c>
      <c r="F134">
        <v>6</v>
      </c>
      <c r="G134">
        <v>8</v>
      </c>
      <c r="H134" t="s">
        <v>525</v>
      </c>
      <c r="I134">
        <f>IF(COUNTIF(OFICIAL!$C$74:$D$88, D134) &gt; 0, 1, 0)</f>
        <v>0</v>
      </c>
    </row>
    <row r="135" spans="1:10" x14ac:dyDescent="0.25">
      <c r="A135" t="s">
        <v>67</v>
      </c>
      <c r="B135" t="s">
        <v>55</v>
      </c>
      <c r="C135">
        <v>2</v>
      </c>
      <c r="D135" t="s">
        <v>57</v>
      </c>
      <c r="E135">
        <v>4</v>
      </c>
      <c r="F135">
        <v>1</v>
      </c>
      <c r="G135">
        <v>4</v>
      </c>
      <c r="H135" t="s">
        <v>525</v>
      </c>
      <c r="I135">
        <f>IF(COUNTIF(OFICIAL!$C$74:$D$88, D135) &gt; 0, 1, 0)</f>
        <v>0</v>
      </c>
    </row>
    <row r="136" spans="1:10" x14ac:dyDescent="0.25">
      <c r="A136" t="s">
        <v>67</v>
      </c>
      <c r="B136" t="s">
        <v>55</v>
      </c>
      <c r="C136">
        <v>3</v>
      </c>
      <c r="D136" t="s">
        <v>58</v>
      </c>
      <c r="E136">
        <v>4</v>
      </c>
      <c r="F136">
        <v>0</v>
      </c>
      <c r="G136">
        <v>4</v>
      </c>
      <c r="H136" t="s">
        <v>536</v>
      </c>
      <c r="I136">
        <f>IF(COUNTIF(OFICIAL!$C$74:$D$88, D136) &gt; 0, 1, 0)</f>
        <v>0</v>
      </c>
    </row>
    <row r="138" spans="1:10" ht="15.75" thickBot="1" x14ac:dyDescent="0.3">
      <c r="A138" s="23" t="s">
        <v>530</v>
      </c>
      <c r="B138" s="24"/>
      <c r="C138" s="24"/>
      <c r="D138" s="24"/>
      <c r="E138" s="24"/>
      <c r="F138" s="24"/>
      <c r="G138" s="24"/>
      <c r="H138" s="24"/>
      <c r="I138" s="24"/>
      <c r="J138" s="24"/>
    </row>
    <row r="139" spans="1:10" ht="15.75" thickBot="1" x14ac:dyDescent="0.3">
      <c r="A139" t="s">
        <v>69</v>
      </c>
      <c r="B139" t="s">
        <v>2</v>
      </c>
      <c r="C139">
        <v>1</v>
      </c>
      <c r="D139" t="s">
        <v>3</v>
      </c>
      <c r="E139">
        <v>9</v>
      </c>
      <c r="F139">
        <v>5</v>
      </c>
      <c r="G139">
        <v>6</v>
      </c>
      <c r="H139" t="s">
        <v>525</v>
      </c>
      <c r="I139">
        <f>IF(COUNTIF(OFICIAL!$C$74:$D$88, D139) &gt; 0, 1, 0)</f>
        <v>0</v>
      </c>
      <c r="J139" s="7">
        <f>SUM(I139:I170)</f>
        <v>0</v>
      </c>
    </row>
    <row r="140" spans="1:10" x14ac:dyDescent="0.25">
      <c r="A140" t="s">
        <v>69</v>
      </c>
      <c r="B140" t="s">
        <v>2</v>
      </c>
      <c r="C140">
        <v>2</v>
      </c>
      <c r="D140" t="s">
        <v>5</v>
      </c>
      <c r="E140">
        <v>6</v>
      </c>
      <c r="F140">
        <v>2</v>
      </c>
      <c r="G140">
        <v>6</v>
      </c>
      <c r="H140" t="s">
        <v>525</v>
      </c>
      <c r="I140">
        <f>IF(COUNTIF(OFICIAL!$C$74:$D$88, D140) &gt; 0, 1, 0)</f>
        <v>0</v>
      </c>
    </row>
    <row r="141" spans="1:10" x14ac:dyDescent="0.25">
      <c r="A141" t="s">
        <v>69</v>
      </c>
      <c r="B141" t="s">
        <v>2</v>
      </c>
      <c r="C141">
        <v>3</v>
      </c>
      <c r="D141" t="s">
        <v>4</v>
      </c>
      <c r="E141">
        <v>3</v>
      </c>
      <c r="F141">
        <v>-4</v>
      </c>
      <c r="G141">
        <v>2</v>
      </c>
      <c r="H141" t="s">
        <v>536</v>
      </c>
      <c r="I141">
        <f>IF(COUNTIF(OFICIAL!$C$74:$D$88, D141) &gt; 0, 1, 0)</f>
        <v>0</v>
      </c>
    </row>
    <row r="142" spans="1:10" x14ac:dyDescent="0.25">
      <c r="A142" t="s">
        <v>69</v>
      </c>
      <c r="B142" t="s">
        <v>7</v>
      </c>
      <c r="C142">
        <v>1</v>
      </c>
      <c r="D142" t="s">
        <v>13</v>
      </c>
      <c r="E142">
        <v>9</v>
      </c>
      <c r="F142">
        <v>3</v>
      </c>
      <c r="G142">
        <v>4</v>
      </c>
      <c r="H142" t="s">
        <v>525</v>
      </c>
      <c r="I142">
        <f>IF(COUNTIF(OFICIAL!$C$74:$D$88, D142) &gt; 0, 1, 0)</f>
        <v>0</v>
      </c>
    </row>
    <row r="143" spans="1:10" x14ac:dyDescent="0.25">
      <c r="A143" t="s">
        <v>69</v>
      </c>
      <c r="B143" t="s">
        <v>7</v>
      </c>
      <c r="C143">
        <v>2</v>
      </c>
      <c r="D143" t="s">
        <v>14</v>
      </c>
      <c r="E143">
        <v>6</v>
      </c>
      <c r="F143">
        <v>2</v>
      </c>
      <c r="G143">
        <v>6</v>
      </c>
      <c r="H143" t="s">
        <v>525</v>
      </c>
      <c r="I143">
        <f>IF(COUNTIF(OFICIAL!$C$74:$D$88, D143) &gt; 0, 1, 0)</f>
        <v>0</v>
      </c>
    </row>
    <row r="144" spans="1:10" x14ac:dyDescent="0.25">
      <c r="A144" t="s">
        <v>69</v>
      </c>
      <c r="B144" t="s">
        <v>7</v>
      </c>
      <c r="C144">
        <v>3</v>
      </c>
      <c r="D144" t="s">
        <v>8</v>
      </c>
      <c r="E144">
        <v>3</v>
      </c>
      <c r="F144">
        <v>-1</v>
      </c>
      <c r="G144">
        <v>2</v>
      </c>
      <c r="H144" t="s">
        <v>536</v>
      </c>
      <c r="I144">
        <f>IF(COUNTIF(OFICIAL!$C$74:$D$88, D144) &gt; 0, 1, 0)</f>
        <v>0</v>
      </c>
    </row>
    <row r="145" spans="1:9" x14ac:dyDescent="0.25">
      <c r="A145" t="s">
        <v>69</v>
      </c>
      <c r="B145" t="s">
        <v>15</v>
      </c>
      <c r="C145">
        <v>1</v>
      </c>
      <c r="D145" t="s">
        <v>16</v>
      </c>
      <c r="E145">
        <v>7</v>
      </c>
      <c r="F145">
        <v>4</v>
      </c>
      <c r="G145">
        <v>6</v>
      </c>
      <c r="H145" t="s">
        <v>525</v>
      </c>
      <c r="I145">
        <f>IF(COUNTIF(OFICIAL!$C$74:$D$88, D145) &gt; 0, 1, 0)</f>
        <v>0</v>
      </c>
    </row>
    <row r="146" spans="1:9" x14ac:dyDescent="0.25">
      <c r="A146" t="s">
        <v>69</v>
      </c>
      <c r="B146" t="s">
        <v>15</v>
      </c>
      <c r="C146">
        <v>2</v>
      </c>
      <c r="D146" t="s">
        <v>17</v>
      </c>
      <c r="E146">
        <v>6</v>
      </c>
      <c r="F146">
        <v>3</v>
      </c>
      <c r="G146">
        <v>6</v>
      </c>
      <c r="H146" t="s">
        <v>525</v>
      </c>
      <c r="I146">
        <f>IF(COUNTIF(OFICIAL!$C$74:$D$88, D146) &gt; 0, 1, 0)</f>
        <v>0</v>
      </c>
    </row>
    <row r="147" spans="1:9" x14ac:dyDescent="0.25">
      <c r="A147" t="s">
        <v>69</v>
      </c>
      <c r="B147" t="s">
        <v>15</v>
      </c>
      <c r="C147">
        <v>3</v>
      </c>
      <c r="D147" t="s">
        <v>19</v>
      </c>
      <c r="E147">
        <v>4</v>
      </c>
      <c r="F147">
        <v>0</v>
      </c>
      <c r="G147">
        <v>3</v>
      </c>
      <c r="H147" t="s">
        <v>536</v>
      </c>
      <c r="I147">
        <f>IF(COUNTIF(OFICIAL!$C$74:$D$88, D147) &gt; 0, 1, 0)</f>
        <v>0</v>
      </c>
    </row>
    <row r="148" spans="1:9" x14ac:dyDescent="0.25">
      <c r="A148" t="s">
        <v>69</v>
      </c>
      <c r="B148" t="s">
        <v>10</v>
      </c>
      <c r="C148">
        <v>1</v>
      </c>
      <c r="D148" t="s">
        <v>21</v>
      </c>
      <c r="E148">
        <v>6</v>
      </c>
      <c r="F148">
        <v>3</v>
      </c>
      <c r="G148">
        <v>4</v>
      </c>
      <c r="H148" t="s">
        <v>525</v>
      </c>
      <c r="I148">
        <f>IF(COUNTIF(OFICIAL!$C$74:$D$88, D148) &gt; 0, 1, 0)</f>
        <v>0</v>
      </c>
    </row>
    <row r="149" spans="1:9" x14ac:dyDescent="0.25">
      <c r="A149" t="s">
        <v>69</v>
      </c>
      <c r="B149" t="s">
        <v>10</v>
      </c>
      <c r="C149">
        <v>2</v>
      </c>
      <c r="D149" t="s">
        <v>12</v>
      </c>
      <c r="E149">
        <v>5</v>
      </c>
      <c r="F149">
        <v>1</v>
      </c>
      <c r="G149">
        <v>5</v>
      </c>
      <c r="H149" t="s">
        <v>525</v>
      </c>
      <c r="I149">
        <f>IF(COUNTIF(OFICIAL!$C$74:$D$88, D149) &gt; 0, 1, 0)</f>
        <v>0</v>
      </c>
    </row>
    <row r="150" spans="1:9" x14ac:dyDescent="0.25">
      <c r="A150" t="s">
        <v>69</v>
      </c>
      <c r="B150" t="s">
        <v>10</v>
      </c>
      <c r="C150">
        <v>3</v>
      </c>
      <c r="D150" t="s">
        <v>20</v>
      </c>
      <c r="E150">
        <v>2</v>
      </c>
      <c r="F150">
        <v>-2</v>
      </c>
      <c r="G150">
        <v>3</v>
      </c>
      <c r="H150" t="s">
        <v>536</v>
      </c>
      <c r="I150">
        <f>IF(COUNTIF(OFICIAL!$C$74:$D$88, D150) &gt; 0, 1, 0)</f>
        <v>0</v>
      </c>
    </row>
    <row r="151" spans="1:9" x14ac:dyDescent="0.25">
      <c r="A151" t="s">
        <v>69</v>
      </c>
      <c r="B151" t="s">
        <v>22</v>
      </c>
      <c r="C151">
        <v>1</v>
      </c>
      <c r="D151" t="s">
        <v>23</v>
      </c>
      <c r="E151">
        <v>9</v>
      </c>
      <c r="F151">
        <v>7</v>
      </c>
      <c r="G151">
        <v>9</v>
      </c>
      <c r="H151" t="s">
        <v>525</v>
      </c>
      <c r="I151">
        <f>IF(COUNTIF(OFICIAL!$C$74:$D$88, D151) &gt; 0, 1, 0)</f>
        <v>0</v>
      </c>
    </row>
    <row r="152" spans="1:9" x14ac:dyDescent="0.25">
      <c r="A152" t="s">
        <v>69</v>
      </c>
      <c r="B152" t="s">
        <v>22</v>
      </c>
      <c r="C152">
        <v>2</v>
      </c>
      <c r="D152" t="s">
        <v>29</v>
      </c>
      <c r="E152">
        <v>6</v>
      </c>
      <c r="F152">
        <v>1</v>
      </c>
      <c r="G152">
        <v>5</v>
      </c>
      <c r="H152" t="s">
        <v>525</v>
      </c>
      <c r="I152">
        <f>IF(COUNTIF(OFICIAL!$C$74:$D$88, D152) &gt; 0, 1, 0)</f>
        <v>0</v>
      </c>
    </row>
    <row r="153" spans="1:9" x14ac:dyDescent="0.25">
      <c r="A153" t="s">
        <v>69</v>
      </c>
      <c r="B153" t="s">
        <v>25</v>
      </c>
      <c r="C153">
        <v>1</v>
      </c>
      <c r="D153" t="s">
        <v>30</v>
      </c>
      <c r="E153">
        <v>9</v>
      </c>
      <c r="F153">
        <v>3</v>
      </c>
      <c r="G153">
        <v>7</v>
      </c>
      <c r="H153" t="s">
        <v>525</v>
      </c>
      <c r="I153">
        <f>IF(COUNTIF(OFICIAL!$C$74:$D$88, D153) &gt; 0, 1, 0)</f>
        <v>0</v>
      </c>
    </row>
    <row r="154" spans="1:9" x14ac:dyDescent="0.25">
      <c r="A154" t="s">
        <v>69</v>
      </c>
      <c r="B154" t="s">
        <v>25</v>
      </c>
      <c r="C154">
        <v>2</v>
      </c>
      <c r="D154" t="s">
        <v>26</v>
      </c>
      <c r="E154">
        <v>4</v>
      </c>
      <c r="F154">
        <v>0</v>
      </c>
      <c r="G154">
        <v>4</v>
      </c>
      <c r="H154" t="s">
        <v>525</v>
      </c>
      <c r="I154">
        <f>IF(COUNTIF(OFICIAL!$C$74:$D$88, D154) &gt; 0, 1, 0)</f>
        <v>0</v>
      </c>
    </row>
    <row r="155" spans="1:9" x14ac:dyDescent="0.25">
      <c r="A155" t="s">
        <v>69</v>
      </c>
      <c r="B155" t="s">
        <v>25</v>
      </c>
      <c r="C155">
        <v>3</v>
      </c>
      <c r="D155" t="s">
        <v>27</v>
      </c>
      <c r="E155">
        <v>2</v>
      </c>
      <c r="F155">
        <v>-1</v>
      </c>
      <c r="G155">
        <v>5</v>
      </c>
      <c r="H155" t="s">
        <v>536</v>
      </c>
      <c r="I155">
        <f>IF(COUNTIF(OFICIAL!$C$74:$D$88, D155) &gt; 0, 1, 0)</f>
        <v>0</v>
      </c>
    </row>
    <row r="156" spans="1:9" x14ac:dyDescent="0.25">
      <c r="A156" t="s">
        <v>69</v>
      </c>
      <c r="B156" t="s">
        <v>35</v>
      </c>
      <c r="C156">
        <v>1</v>
      </c>
      <c r="D156" t="s">
        <v>36</v>
      </c>
      <c r="E156">
        <v>9</v>
      </c>
      <c r="F156">
        <v>4</v>
      </c>
      <c r="G156">
        <v>7</v>
      </c>
      <c r="H156" t="s">
        <v>525</v>
      </c>
      <c r="I156">
        <f>IF(COUNTIF(OFICIAL!$C$74:$D$88, D156) &gt; 0, 1, 0)</f>
        <v>0</v>
      </c>
    </row>
    <row r="157" spans="1:9" x14ac:dyDescent="0.25">
      <c r="A157" t="s">
        <v>69</v>
      </c>
      <c r="B157" t="s">
        <v>35</v>
      </c>
      <c r="C157">
        <v>2</v>
      </c>
      <c r="D157" t="s">
        <v>37</v>
      </c>
      <c r="E157">
        <v>4</v>
      </c>
      <c r="F157">
        <v>0</v>
      </c>
      <c r="G157">
        <v>4</v>
      </c>
      <c r="H157" t="s">
        <v>525</v>
      </c>
      <c r="I157">
        <f>IF(COUNTIF(OFICIAL!$C$74:$D$88, D157) &gt; 0, 1, 0)</f>
        <v>0</v>
      </c>
    </row>
    <row r="158" spans="1:9" x14ac:dyDescent="0.25">
      <c r="A158" t="s">
        <v>69</v>
      </c>
      <c r="B158" t="s">
        <v>35</v>
      </c>
      <c r="C158">
        <v>3</v>
      </c>
      <c r="D158" t="s">
        <v>41</v>
      </c>
      <c r="E158">
        <v>2</v>
      </c>
      <c r="F158">
        <v>-1</v>
      </c>
      <c r="G158">
        <v>5</v>
      </c>
      <c r="H158" t="s">
        <v>536</v>
      </c>
      <c r="I158">
        <f>IF(COUNTIF(OFICIAL!$C$74:$D$88, D158) &gt; 0, 1, 0)</f>
        <v>0</v>
      </c>
    </row>
    <row r="159" spans="1:9" x14ac:dyDescent="0.25">
      <c r="A159" t="s">
        <v>69</v>
      </c>
      <c r="B159" t="s">
        <v>32</v>
      </c>
      <c r="C159">
        <v>1</v>
      </c>
      <c r="D159" t="s">
        <v>33</v>
      </c>
      <c r="E159">
        <v>9</v>
      </c>
      <c r="F159">
        <v>6</v>
      </c>
      <c r="G159">
        <v>8</v>
      </c>
      <c r="H159" t="s">
        <v>525</v>
      </c>
      <c r="I159">
        <f>IF(COUNTIF(OFICIAL!$C$74:$D$88, D159) &gt; 0, 1, 0)</f>
        <v>0</v>
      </c>
    </row>
    <row r="160" spans="1:9" x14ac:dyDescent="0.25">
      <c r="A160" t="s">
        <v>69</v>
      </c>
      <c r="B160" t="s">
        <v>32</v>
      </c>
      <c r="C160">
        <v>2</v>
      </c>
      <c r="D160" t="s">
        <v>39</v>
      </c>
      <c r="E160">
        <v>6</v>
      </c>
      <c r="F160">
        <v>2</v>
      </c>
      <c r="G160">
        <v>5</v>
      </c>
      <c r="H160" t="s">
        <v>525</v>
      </c>
      <c r="I160">
        <f>IF(COUNTIF(OFICIAL!$C$74:$D$88, D160) &gt; 0, 1, 0)</f>
        <v>0</v>
      </c>
    </row>
    <row r="161" spans="1:10" x14ac:dyDescent="0.25">
      <c r="A161" t="s">
        <v>69</v>
      </c>
      <c r="B161" t="s">
        <v>42</v>
      </c>
      <c r="C161">
        <v>1</v>
      </c>
      <c r="D161" t="s">
        <v>43</v>
      </c>
      <c r="E161">
        <v>7</v>
      </c>
      <c r="F161">
        <v>6</v>
      </c>
      <c r="G161">
        <v>9</v>
      </c>
      <c r="H161" t="s">
        <v>525</v>
      </c>
      <c r="I161">
        <f>IF(COUNTIF(OFICIAL!$C$74:$D$88, D161) &gt; 0, 1, 0)</f>
        <v>0</v>
      </c>
    </row>
    <row r="162" spans="1:10" x14ac:dyDescent="0.25">
      <c r="A162" t="s">
        <v>69</v>
      </c>
      <c r="B162" t="s">
        <v>42</v>
      </c>
      <c r="C162">
        <v>2</v>
      </c>
      <c r="D162" t="s">
        <v>46</v>
      </c>
      <c r="E162">
        <v>7</v>
      </c>
      <c r="F162">
        <v>3</v>
      </c>
      <c r="G162">
        <v>5</v>
      </c>
      <c r="H162" t="s">
        <v>525</v>
      </c>
      <c r="I162">
        <f>IF(COUNTIF(OFICIAL!$C$74:$D$88, D162) &gt; 0, 1, 0)</f>
        <v>0</v>
      </c>
    </row>
    <row r="163" spans="1:10" x14ac:dyDescent="0.25">
      <c r="A163" t="s">
        <v>69</v>
      </c>
      <c r="B163" t="s">
        <v>42</v>
      </c>
      <c r="C163">
        <v>3</v>
      </c>
      <c r="D163" t="s">
        <v>44</v>
      </c>
      <c r="E163">
        <v>3</v>
      </c>
      <c r="F163">
        <v>-3</v>
      </c>
      <c r="G163">
        <v>1</v>
      </c>
      <c r="H163" t="s">
        <v>536</v>
      </c>
      <c r="I163">
        <f>IF(COUNTIF(OFICIAL!$C$74:$D$88, D163) &gt; 0, 1, 0)</f>
        <v>0</v>
      </c>
    </row>
    <row r="164" spans="1:10" x14ac:dyDescent="0.25">
      <c r="A164" t="s">
        <v>69</v>
      </c>
      <c r="B164" t="s">
        <v>47</v>
      </c>
      <c r="C164">
        <v>1</v>
      </c>
      <c r="D164" t="s">
        <v>48</v>
      </c>
      <c r="E164">
        <v>9</v>
      </c>
      <c r="F164">
        <v>8</v>
      </c>
      <c r="G164">
        <v>10</v>
      </c>
      <c r="H164" t="s">
        <v>525</v>
      </c>
      <c r="I164">
        <f>IF(COUNTIF(OFICIAL!$C$74:$D$88, D164) &gt; 0, 1, 0)</f>
        <v>0</v>
      </c>
    </row>
    <row r="165" spans="1:10" x14ac:dyDescent="0.25">
      <c r="A165" t="s">
        <v>69</v>
      </c>
      <c r="B165" t="s">
        <v>47</v>
      </c>
      <c r="C165">
        <v>2</v>
      </c>
      <c r="D165" t="s">
        <v>50</v>
      </c>
      <c r="E165">
        <v>6</v>
      </c>
      <c r="F165">
        <v>0</v>
      </c>
      <c r="G165">
        <v>4</v>
      </c>
      <c r="H165" t="s">
        <v>525</v>
      </c>
      <c r="I165">
        <f>IF(COUNTIF(OFICIAL!$C$74:$D$88, D165) &gt; 0, 1, 0)</f>
        <v>0</v>
      </c>
    </row>
    <row r="166" spans="1:10" x14ac:dyDescent="0.25">
      <c r="A166" t="s">
        <v>69</v>
      </c>
      <c r="B166" t="s">
        <v>52</v>
      </c>
      <c r="C166">
        <v>1</v>
      </c>
      <c r="D166" t="s">
        <v>53</v>
      </c>
      <c r="E166">
        <v>7</v>
      </c>
      <c r="F166">
        <v>6</v>
      </c>
      <c r="G166">
        <v>8</v>
      </c>
      <c r="H166" t="s">
        <v>525</v>
      </c>
      <c r="I166">
        <f>IF(COUNTIF(OFICIAL!$C$74:$D$88, D166) &gt; 0, 1, 0)</f>
        <v>0</v>
      </c>
    </row>
    <row r="167" spans="1:10" x14ac:dyDescent="0.25">
      <c r="A167" t="s">
        <v>69</v>
      </c>
      <c r="B167" t="s">
        <v>52</v>
      </c>
      <c r="C167">
        <v>2</v>
      </c>
      <c r="D167" t="s">
        <v>61</v>
      </c>
      <c r="E167">
        <v>7</v>
      </c>
      <c r="F167">
        <v>3</v>
      </c>
      <c r="G167">
        <v>6</v>
      </c>
      <c r="H167" t="s">
        <v>525</v>
      </c>
      <c r="I167">
        <f>IF(COUNTIF(OFICIAL!$C$74:$D$88, D167) &gt; 0, 1, 0)</f>
        <v>0</v>
      </c>
    </row>
    <row r="168" spans="1:10" x14ac:dyDescent="0.25">
      <c r="A168" t="s">
        <v>69</v>
      </c>
      <c r="B168" t="s">
        <v>55</v>
      </c>
      <c r="C168">
        <v>1</v>
      </c>
      <c r="D168" t="s">
        <v>56</v>
      </c>
      <c r="E168">
        <v>9</v>
      </c>
      <c r="F168">
        <v>7</v>
      </c>
      <c r="G168">
        <v>9</v>
      </c>
      <c r="H168" t="s">
        <v>525</v>
      </c>
      <c r="I168">
        <f>IF(COUNTIF(OFICIAL!$C$74:$D$88, D168) &gt; 0, 1, 0)</f>
        <v>0</v>
      </c>
    </row>
    <row r="169" spans="1:10" x14ac:dyDescent="0.25">
      <c r="A169" t="s">
        <v>69</v>
      </c>
      <c r="B169" t="s">
        <v>55</v>
      </c>
      <c r="C169">
        <v>2</v>
      </c>
      <c r="D169" t="s">
        <v>57</v>
      </c>
      <c r="E169">
        <v>4</v>
      </c>
      <c r="F169">
        <v>-1</v>
      </c>
      <c r="G169">
        <v>4</v>
      </c>
      <c r="H169" t="s">
        <v>525</v>
      </c>
      <c r="I169">
        <f>IF(COUNTIF(OFICIAL!$C$74:$D$88, D169) &gt; 0, 1, 0)</f>
        <v>0</v>
      </c>
    </row>
    <row r="170" spans="1:10" x14ac:dyDescent="0.25">
      <c r="A170" t="s">
        <v>69</v>
      </c>
      <c r="B170" t="s">
        <v>55</v>
      </c>
      <c r="C170">
        <v>3</v>
      </c>
      <c r="D170" t="s">
        <v>58</v>
      </c>
      <c r="E170">
        <v>2</v>
      </c>
      <c r="F170">
        <v>-4</v>
      </c>
      <c r="G170">
        <v>3</v>
      </c>
      <c r="H170" t="s">
        <v>536</v>
      </c>
      <c r="I170">
        <f>IF(COUNTIF(OFICIAL!$C$74:$D$88, D170) &gt; 0, 1, 0)</f>
        <v>0</v>
      </c>
    </row>
    <row r="172" spans="1:10" ht="15.75" thickBot="1" x14ac:dyDescent="0.3">
      <c r="A172" s="23" t="s">
        <v>531</v>
      </c>
      <c r="B172" s="24"/>
      <c r="C172" s="24"/>
      <c r="D172" s="24"/>
      <c r="E172" s="24"/>
      <c r="F172" s="24"/>
      <c r="G172" s="24"/>
      <c r="H172" s="24"/>
      <c r="I172" s="24"/>
      <c r="J172" s="24"/>
    </row>
    <row r="173" spans="1:10" ht="15.75" thickBot="1" x14ac:dyDescent="0.3">
      <c r="A173" t="s">
        <v>71</v>
      </c>
      <c r="B173" t="s">
        <v>2</v>
      </c>
      <c r="C173">
        <v>1</v>
      </c>
      <c r="D173" t="s">
        <v>3</v>
      </c>
      <c r="E173">
        <v>9</v>
      </c>
      <c r="F173">
        <v>4</v>
      </c>
      <c r="G173">
        <v>6</v>
      </c>
      <c r="H173" t="s">
        <v>525</v>
      </c>
      <c r="I173">
        <f>IF(COUNTIF(OFICIAL!$C$74:$D$88, D173) &gt; 0, 1, 0)</f>
        <v>0</v>
      </c>
      <c r="J173" s="7">
        <f>SUM(I173:I204)</f>
        <v>0</v>
      </c>
    </row>
    <row r="174" spans="1:10" x14ac:dyDescent="0.25">
      <c r="A174" t="s">
        <v>71</v>
      </c>
      <c r="B174" t="s">
        <v>2</v>
      </c>
      <c r="C174">
        <v>2</v>
      </c>
      <c r="D174" t="s">
        <v>6</v>
      </c>
      <c r="E174">
        <v>6</v>
      </c>
      <c r="F174">
        <v>1</v>
      </c>
      <c r="G174">
        <v>5</v>
      </c>
      <c r="H174" t="s">
        <v>525</v>
      </c>
      <c r="I174">
        <f>IF(COUNTIF(OFICIAL!$C$74:$D$88, D174) &gt; 0, 1, 0)</f>
        <v>0</v>
      </c>
    </row>
    <row r="175" spans="1:10" x14ac:dyDescent="0.25">
      <c r="A175" t="s">
        <v>71</v>
      </c>
      <c r="B175" t="s">
        <v>2</v>
      </c>
      <c r="C175">
        <v>3</v>
      </c>
      <c r="D175" t="s">
        <v>5</v>
      </c>
      <c r="E175">
        <v>3</v>
      </c>
      <c r="F175">
        <v>-2</v>
      </c>
      <c r="G175">
        <v>2</v>
      </c>
      <c r="H175" t="s">
        <v>536</v>
      </c>
      <c r="I175">
        <f>IF(COUNTIF(OFICIAL!$C$74:$D$88, D175) &gt; 0, 1, 0)</f>
        <v>0</v>
      </c>
    </row>
    <row r="176" spans="1:10" x14ac:dyDescent="0.25">
      <c r="A176" t="s">
        <v>71</v>
      </c>
      <c r="B176" t="s">
        <v>7</v>
      </c>
      <c r="C176">
        <v>1</v>
      </c>
      <c r="D176" t="s">
        <v>14</v>
      </c>
      <c r="E176">
        <v>9</v>
      </c>
      <c r="F176">
        <v>5</v>
      </c>
      <c r="G176">
        <v>6</v>
      </c>
      <c r="H176" t="s">
        <v>525</v>
      </c>
      <c r="I176">
        <f>IF(COUNTIF(OFICIAL!$C$74:$D$88, D176) &gt; 0, 1, 0)</f>
        <v>0</v>
      </c>
    </row>
    <row r="177" spans="1:9" x14ac:dyDescent="0.25">
      <c r="A177" t="s">
        <v>71</v>
      </c>
      <c r="B177" t="s">
        <v>7</v>
      </c>
      <c r="C177">
        <v>2</v>
      </c>
      <c r="D177" t="s">
        <v>9</v>
      </c>
      <c r="E177">
        <v>4</v>
      </c>
      <c r="F177">
        <v>1</v>
      </c>
      <c r="G177">
        <v>4</v>
      </c>
      <c r="H177" t="s">
        <v>525</v>
      </c>
      <c r="I177">
        <f>IF(COUNTIF(OFICIAL!$C$74:$D$88, D177) &gt; 0, 1, 0)</f>
        <v>0</v>
      </c>
    </row>
    <row r="178" spans="1:9" x14ac:dyDescent="0.25">
      <c r="A178" t="s">
        <v>71</v>
      </c>
      <c r="B178" t="s">
        <v>7</v>
      </c>
      <c r="C178">
        <v>3</v>
      </c>
      <c r="D178" t="s">
        <v>8</v>
      </c>
      <c r="E178">
        <v>4</v>
      </c>
      <c r="F178">
        <v>0</v>
      </c>
      <c r="G178">
        <v>3</v>
      </c>
      <c r="H178" t="s">
        <v>536</v>
      </c>
      <c r="I178">
        <f>IF(COUNTIF(OFICIAL!$C$74:$D$88, D178) &gt; 0, 1, 0)</f>
        <v>0</v>
      </c>
    </row>
    <row r="179" spans="1:9" x14ac:dyDescent="0.25">
      <c r="A179" t="s">
        <v>71</v>
      </c>
      <c r="B179" t="s">
        <v>15</v>
      </c>
      <c r="C179">
        <v>1</v>
      </c>
      <c r="D179" t="s">
        <v>16</v>
      </c>
      <c r="E179">
        <v>9</v>
      </c>
      <c r="F179">
        <v>8</v>
      </c>
      <c r="G179">
        <v>9</v>
      </c>
      <c r="H179" t="s">
        <v>525</v>
      </c>
      <c r="I179">
        <f>IF(COUNTIF(OFICIAL!$C$74:$D$88, D179) &gt; 0, 1, 0)</f>
        <v>0</v>
      </c>
    </row>
    <row r="180" spans="1:9" x14ac:dyDescent="0.25">
      <c r="A180" t="s">
        <v>71</v>
      </c>
      <c r="B180" t="s">
        <v>15</v>
      </c>
      <c r="C180">
        <v>2</v>
      </c>
      <c r="D180" t="s">
        <v>17</v>
      </c>
      <c r="E180">
        <v>6</v>
      </c>
      <c r="F180">
        <v>4</v>
      </c>
      <c r="G180">
        <v>6</v>
      </c>
      <c r="H180" t="s">
        <v>525</v>
      </c>
      <c r="I180">
        <f>IF(COUNTIF(OFICIAL!$C$74:$D$88, D180) &gt; 0, 1, 0)</f>
        <v>0</v>
      </c>
    </row>
    <row r="181" spans="1:9" x14ac:dyDescent="0.25">
      <c r="A181" t="s">
        <v>71</v>
      </c>
      <c r="B181" t="s">
        <v>15</v>
      </c>
      <c r="C181">
        <v>3</v>
      </c>
      <c r="D181" t="s">
        <v>19</v>
      </c>
      <c r="E181">
        <v>3</v>
      </c>
      <c r="F181">
        <v>-3</v>
      </c>
      <c r="G181">
        <v>2</v>
      </c>
      <c r="H181" t="s">
        <v>536</v>
      </c>
      <c r="I181">
        <f>IF(COUNTIF(OFICIAL!$C$74:$D$88, D181) &gt; 0, 1, 0)</f>
        <v>0</v>
      </c>
    </row>
    <row r="182" spans="1:9" x14ac:dyDescent="0.25">
      <c r="A182" t="s">
        <v>71</v>
      </c>
      <c r="B182" t="s">
        <v>10</v>
      </c>
      <c r="C182">
        <v>1</v>
      </c>
      <c r="D182" t="s">
        <v>21</v>
      </c>
      <c r="E182">
        <v>7</v>
      </c>
      <c r="F182">
        <v>2</v>
      </c>
      <c r="G182">
        <v>5</v>
      </c>
      <c r="H182" t="s">
        <v>525</v>
      </c>
      <c r="I182">
        <f>IF(COUNTIF(OFICIAL!$C$74:$D$88, D182) &gt; 0, 1, 0)</f>
        <v>0</v>
      </c>
    </row>
    <row r="183" spans="1:9" x14ac:dyDescent="0.25">
      <c r="A183" t="s">
        <v>71</v>
      </c>
      <c r="B183" t="s">
        <v>10</v>
      </c>
      <c r="C183">
        <v>2</v>
      </c>
      <c r="D183" t="s">
        <v>11</v>
      </c>
      <c r="E183">
        <v>5</v>
      </c>
      <c r="F183">
        <v>1</v>
      </c>
      <c r="G183">
        <v>4</v>
      </c>
      <c r="H183" t="s">
        <v>525</v>
      </c>
      <c r="I183">
        <f>IF(COUNTIF(OFICIAL!$C$74:$D$88, D183) &gt; 0, 1, 0)</f>
        <v>0</v>
      </c>
    </row>
    <row r="184" spans="1:9" x14ac:dyDescent="0.25">
      <c r="A184" t="s">
        <v>71</v>
      </c>
      <c r="B184" t="s">
        <v>10</v>
      </c>
      <c r="C184">
        <v>3</v>
      </c>
      <c r="D184" t="s">
        <v>12</v>
      </c>
      <c r="E184">
        <v>4</v>
      </c>
      <c r="F184">
        <v>0</v>
      </c>
      <c r="G184">
        <v>3</v>
      </c>
      <c r="H184" t="s">
        <v>536</v>
      </c>
      <c r="I184">
        <f>IF(COUNTIF(OFICIAL!$C$74:$D$88, D184) &gt; 0, 1, 0)</f>
        <v>0</v>
      </c>
    </row>
    <row r="185" spans="1:9" x14ac:dyDescent="0.25">
      <c r="A185" t="s">
        <v>71</v>
      </c>
      <c r="B185" t="s">
        <v>22</v>
      </c>
      <c r="C185">
        <v>1</v>
      </c>
      <c r="D185" t="s">
        <v>23</v>
      </c>
      <c r="E185">
        <v>9</v>
      </c>
      <c r="F185">
        <v>8</v>
      </c>
      <c r="G185">
        <v>8</v>
      </c>
      <c r="H185" t="s">
        <v>525</v>
      </c>
      <c r="I185">
        <f>IF(COUNTIF(OFICIAL!$C$74:$D$88, D185) &gt; 0, 1, 0)</f>
        <v>0</v>
      </c>
    </row>
    <row r="186" spans="1:9" x14ac:dyDescent="0.25">
      <c r="A186" t="s">
        <v>71</v>
      </c>
      <c r="B186" t="s">
        <v>22</v>
      </c>
      <c r="C186">
        <v>2</v>
      </c>
      <c r="D186" t="s">
        <v>29</v>
      </c>
      <c r="E186">
        <v>6</v>
      </c>
      <c r="F186">
        <v>1</v>
      </c>
      <c r="G186">
        <v>3</v>
      </c>
      <c r="H186" t="s">
        <v>525</v>
      </c>
      <c r="I186">
        <f>IF(COUNTIF(OFICIAL!$C$74:$D$88, D186) &gt; 0, 1, 0)</f>
        <v>0</v>
      </c>
    </row>
    <row r="187" spans="1:9" x14ac:dyDescent="0.25">
      <c r="A187" t="s">
        <v>71</v>
      </c>
      <c r="B187" t="s">
        <v>22</v>
      </c>
      <c r="C187">
        <v>3</v>
      </c>
      <c r="D187" t="s">
        <v>28</v>
      </c>
      <c r="E187">
        <v>3</v>
      </c>
      <c r="F187">
        <v>-4</v>
      </c>
      <c r="G187">
        <v>1</v>
      </c>
      <c r="H187" t="s">
        <v>536</v>
      </c>
      <c r="I187">
        <f>IF(COUNTIF(OFICIAL!$C$74:$D$88, D187) &gt; 0, 1, 0)</f>
        <v>0</v>
      </c>
    </row>
    <row r="188" spans="1:9" x14ac:dyDescent="0.25">
      <c r="A188" t="s">
        <v>71</v>
      </c>
      <c r="B188" t="s">
        <v>25</v>
      </c>
      <c r="C188">
        <v>1</v>
      </c>
      <c r="D188" t="s">
        <v>26</v>
      </c>
      <c r="E188">
        <v>9</v>
      </c>
      <c r="F188">
        <v>5</v>
      </c>
      <c r="G188">
        <v>6</v>
      </c>
      <c r="H188" t="s">
        <v>525</v>
      </c>
      <c r="I188">
        <f>IF(COUNTIF(OFICIAL!$C$74:$D$88, D188) &gt; 0, 1, 0)</f>
        <v>0</v>
      </c>
    </row>
    <row r="189" spans="1:9" x14ac:dyDescent="0.25">
      <c r="A189" t="s">
        <v>71</v>
      </c>
      <c r="B189" t="s">
        <v>25</v>
      </c>
      <c r="C189">
        <v>2</v>
      </c>
      <c r="D189" t="s">
        <v>30</v>
      </c>
      <c r="E189">
        <v>6</v>
      </c>
      <c r="F189">
        <v>2</v>
      </c>
      <c r="G189">
        <v>5</v>
      </c>
      <c r="H189" t="s">
        <v>525</v>
      </c>
      <c r="I189">
        <f>IF(COUNTIF(OFICIAL!$C$74:$D$88, D189) &gt; 0, 1, 0)</f>
        <v>0</v>
      </c>
    </row>
    <row r="190" spans="1:9" x14ac:dyDescent="0.25">
      <c r="A190" t="s">
        <v>71</v>
      </c>
      <c r="B190" t="s">
        <v>25</v>
      </c>
      <c r="C190">
        <v>3</v>
      </c>
      <c r="D190" t="s">
        <v>27</v>
      </c>
      <c r="E190">
        <v>3</v>
      </c>
      <c r="F190">
        <v>-2</v>
      </c>
      <c r="G190">
        <v>3</v>
      </c>
      <c r="H190" t="s">
        <v>536</v>
      </c>
      <c r="I190">
        <f>IF(COUNTIF(OFICIAL!$C$74:$D$88, D190) &gt; 0, 1, 0)</f>
        <v>0</v>
      </c>
    </row>
    <row r="191" spans="1:9" x14ac:dyDescent="0.25">
      <c r="A191" t="s">
        <v>71</v>
      </c>
      <c r="B191" t="s">
        <v>35</v>
      </c>
      <c r="C191">
        <v>1</v>
      </c>
      <c r="D191" t="s">
        <v>36</v>
      </c>
      <c r="E191">
        <v>9</v>
      </c>
      <c r="F191">
        <v>4</v>
      </c>
      <c r="G191">
        <v>6</v>
      </c>
      <c r="H191" t="s">
        <v>525</v>
      </c>
      <c r="I191">
        <f>IF(COUNTIF(OFICIAL!$C$74:$D$88, D191) &gt; 0, 1, 0)</f>
        <v>0</v>
      </c>
    </row>
    <row r="192" spans="1:9" x14ac:dyDescent="0.25">
      <c r="A192" t="s">
        <v>71</v>
      </c>
      <c r="B192" t="s">
        <v>35</v>
      </c>
      <c r="C192">
        <v>2</v>
      </c>
      <c r="D192" t="s">
        <v>40</v>
      </c>
      <c r="E192">
        <v>4</v>
      </c>
      <c r="F192">
        <v>0</v>
      </c>
      <c r="G192">
        <v>3</v>
      </c>
      <c r="H192" t="s">
        <v>525</v>
      </c>
      <c r="I192">
        <f>IF(COUNTIF(OFICIAL!$C$74:$D$88, D192) &gt; 0, 1, 0)</f>
        <v>0</v>
      </c>
    </row>
    <row r="193" spans="1:10" x14ac:dyDescent="0.25">
      <c r="A193" t="s">
        <v>71</v>
      </c>
      <c r="B193" t="s">
        <v>35</v>
      </c>
      <c r="C193">
        <v>3</v>
      </c>
      <c r="D193" t="s">
        <v>37</v>
      </c>
      <c r="E193">
        <v>4</v>
      </c>
      <c r="F193">
        <v>-1</v>
      </c>
      <c r="G193">
        <v>2</v>
      </c>
      <c r="H193" t="s">
        <v>536</v>
      </c>
      <c r="I193">
        <f>IF(COUNTIF(OFICIAL!$C$74:$D$88, D193) &gt; 0, 1, 0)</f>
        <v>0</v>
      </c>
    </row>
    <row r="194" spans="1:10" x14ac:dyDescent="0.25">
      <c r="A194" t="s">
        <v>71</v>
      </c>
      <c r="B194" t="s">
        <v>32</v>
      </c>
      <c r="C194">
        <v>1</v>
      </c>
      <c r="D194" t="s">
        <v>33</v>
      </c>
      <c r="E194">
        <v>9</v>
      </c>
      <c r="F194">
        <v>6</v>
      </c>
      <c r="G194">
        <v>7</v>
      </c>
      <c r="H194" t="s">
        <v>525</v>
      </c>
      <c r="I194">
        <f>IF(COUNTIF(OFICIAL!$C$74:$D$88, D194) &gt; 0, 1, 0)</f>
        <v>0</v>
      </c>
    </row>
    <row r="195" spans="1:10" x14ac:dyDescent="0.25">
      <c r="A195" t="s">
        <v>71</v>
      </c>
      <c r="B195" t="s">
        <v>32</v>
      </c>
      <c r="C195">
        <v>2</v>
      </c>
      <c r="D195" t="s">
        <v>39</v>
      </c>
      <c r="E195">
        <v>6</v>
      </c>
      <c r="F195">
        <v>4</v>
      </c>
      <c r="G195">
        <v>6</v>
      </c>
      <c r="H195" t="s">
        <v>525</v>
      </c>
      <c r="I195">
        <f>IF(COUNTIF(OFICIAL!$C$74:$D$88, D195) &gt; 0, 1, 0)</f>
        <v>0</v>
      </c>
    </row>
    <row r="196" spans="1:10" x14ac:dyDescent="0.25">
      <c r="A196" t="s">
        <v>71</v>
      </c>
      <c r="B196" t="s">
        <v>42</v>
      </c>
      <c r="C196">
        <v>1</v>
      </c>
      <c r="D196" t="s">
        <v>43</v>
      </c>
      <c r="E196">
        <v>9</v>
      </c>
      <c r="F196">
        <v>5</v>
      </c>
      <c r="G196">
        <v>8</v>
      </c>
      <c r="H196" t="s">
        <v>525</v>
      </c>
      <c r="I196">
        <f>IF(COUNTIF(OFICIAL!$C$74:$D$88, D196) &gt; 0, 1, 0)</f>
        <v>0</v>
      </c>
    </row>
    <row r="197" spans="1:10" x14ac:dyDescent="0.25">
      <c r="A197" t="s">
        <v>71</v>
      </c>
      <c r="B197" t="s">
        <v>42</v>
      </c>
      <c r="C197">
        <v>2</v>
      </c>
      <c r="D197" t="s">
        <v>46</v>
      </c>
      <c r="E197">
        <v>6</v>
      </c>
      <c r="F197">
        <v>1</v>
      </c>
      <c r="G197">
        <v>5</v>
      </c>
      <c r="H197" t="s">
        <v>525</v>
      </c>
      <c r="I197">
        <f>IF(COUNTIF(OFICIAL!$C$74:$D$88, D197) &gt; 0, 1, 0)</f>
        <v>0</v>
      </c>
    </row>
    <row r="198" spans="1:10" x14ac:dyDescent="0.25">
      <c r="A198" t="s">
        <v>71</v>
      </c>
      <c r="B198" t="s">
        <v>47</v>
      </c>
      <c r="C198">
        <v>1</v>
      </c>
      <c r="D198" t="s">
        <v>48</v>
      </c>
      <c r="E198">
        <v>9</v>
      </c>
      <c r="F198">
        <v>5</v>
      </c>
      <c r="G198">
        <v>6</v>
      </c>
      <c r="H198" t="s">
        <v>525</v>
      </c>
      <c r="I198">
        <f>IF(COUNTIF(OFICIAL!$C$74:$D$88, D198) &gt; 0, 1, 0)</f>
        <v>0</v>
      </c>
    </row>
    <row r="199" spans="1:10" x14ac:dyDescent="0.25">
      <c r="A199" t="s">
        <v>71</v>
      </c>
      <c r="B199" t="s">
        <v>47</v>
      </c>
      <c r="C199">
        <v>2</v>
      </c>
      <c r="D199" t="s">
        <v>50</v>
      </c>
      <c r="E199">
        <v>6</v>
      </c>
      <c r="F199">
        <v>1</v>
      </c>
      <c r="G199">
        <v>4</v>
      </c>
      <c r="H199" t="s">
        <v>525</v>
      </c>
      <c r="I199">
        <f>IF(COUNTIF(OFICIAL!$C$74:$D$88, D199) &gt; 0, 1, 0)</f>
        <v>0</v>
      </c>
    </row>
    <row r="200" spans="1:10" x14ac:dyDescent="0.25">
      <c r="A200" t="s">
        <v>71</v>
      </c>
      <c r="B200" t="s">
        <v>52</v>
      </c>
      <c r="C200">
        <v>1</v>
      </c>
      <c r="D200" t="s">
        <v>53</v>
      </c>
      <c r="E200">
        <v>9</v>
      </c>
      <c r="F200">
        <v>6</v>
      </c>
      <c r="G200">
        <v>7</v>
      </c>
      <c r="H200" t="s">
        <v>525</v>
      </c>
      <c r="I200">
        <f>IF(COUNTIF(OFICIAL!$C$74:$D$88, D200) &gt; 0, 1, 0)</f>
        <v>0</v>
      </c>
    </row>
    <row r="201" spans="1:10" x14ac:dyDescent="0.25">
      <c r="A201" t="s">
        <v>71</v>
      </c>
      <c r="B201" t="s">
        <v>52</v>
      </c>
      <c r="C201">
        <v>2</v>
      </c>
      <c r="D201" t="s">
        <v>61</v>
      </c>
      <c r="E201">
        <v>6</v>
      </c>
      <c r="F201">
        <v>3</v>
      </c>
      <c r="G201">
        <v>5</v>
      </c>
      <c r="H201" t="s">
        <v>525</v>
      </c>
      <c r="I201">
        <f>IF(COUNTIF(OFICIAL!$C$74:$D$88, D201) &gt; 0, 1, 0)</f>
        <v>0</v>
      </c>
    </row>
    <row r="202" spans="1:10" x14ac:dyDescent="0.25">
      <c r="A202" t="s">
        <v>71</v>
      </c>
      <c r="B202" t="s">
        <v>55</v>
      </c>
      <c r="C202">
        <v>1</v>
      </c>
      <c r="D202" t="s">
        <v>56</v>
      </c>
      <c r="E202">
        <v>9</v>
      </c>
      <c r="F202">
        <v>4</v>
      </c>
      <c r="G202">
        <v>6</v>
      </c>
      <c r="H202" t="s">
        <v>525</v>
      </c>
      <c r="I202">
        <f>IF(COUNTIF(OFICIAL!$C$74:$D$88, D202) &gt; 0, 1, 0)</f>
        <v>0</v>
      </c>
    </row>
    <row r="203" spans="1:10" x14ac:dyDescent="0.25">
      <c r="A203" t="s">
        <v>71</v>
      </c>
      <c r="B203" t="s">
        <v>55</v>
      </c>
      <c r="C203">
        <v>2</v>
      </c>
      <c r="D203" t="s">
        <v>57</v>
      </c>
      <c r="E203">
        <v>6</v>
      </c>
      <c r="F203">
        <v>3</v>
      </c>
      <c r="G203">
        <v>5</v>
      </c>
      <c r="H203" t="s">
        <v>525</v>
      </c>
      <c r="I203">
        <f>IF(COUNTIF(OFICIAL!$C$74:$D$88, D203) &gt; 0, 1, 0)</f>
        <v>0</v>
      </c>
    </row>
    <row r="204" spans="1:10" x14ac:dyDescent="0.25">
      <c r="A204" t="s">
        <v>71</v>
      </c>
      <c r="B204" t="s">
        <v>55</v>
      </c>
      <c r="C204">
        <v>3</v>
      </c>
      <c r="D204" t="s">
        <v>58</v>
      </c>
      <c r="E204">
        <v>3</v>
      </c>
      <c r="F204">
        <v>-1</v>
      </c>
      <c r="G204">
        <v>3</v>
      </c>
      <c r="H204" t="s">
        <v>536</v>
      </c>
      <c r="I204">
        <f>IF(COUNTIF(OFICIAL!$C$74:$D$88, D204) &gt; 0, 1, 0)</f>
        <v>0</v>
      </c>
    </row>
    <row r="206" spans="1:10" ht="15.75" thickBot="1" x14ac:dyDescent="0.3">
      <c r="A206" s="23" t="s">
        <v>532</v>
      </c>
      <c r="B206" s="24"/>
      <c r="C206" s="24"/>
      <c r="D206" s="24"/>
      <c r="E206" s="24"/>
      <c r="F206" s="24"/>
      <c r="G206" s="24"/>
      <c r="H206" s="24"/>
      <c r="I206" s="24"/>
      <c r="J206" s="24"/>
    </row>
    <row r="207" spans="1:10" ht="15.75" thickBot="1" x14ac:dyDescent="0.3">
      <c r="A207" t="s">
        <v>73</v>
      </c>
      <c r="B207" t="s">
        <v>2</v>
      </c>
      <c r="C207">
        <v>1</v>
      </c>
      <c r="D207" t="s">
        <v>3</v>
      </c>
      <c r="E207">
        <v>7</v>
      </c>
      <c r="F207">
        <v>3</v>
      </c>
      <c r="G207">
        <v>4</v>
      </c>
      <c r="H207" t="s">
        <v>525</v>
      </c>
      <c r="I207">
        <f>IF(COUNTIF(OFICIAL!$C$74:$D$88, D207) &gt; 0, 1, 0)</f>
        <v>0</v>
      </c>
      <c r="J207" s="7">
        <f>SUM(I207:I238)</f>
        <v>0</v>
      </c>
    </row>
    <row r="208" spans="1:10" x14ac:dyDescent="0.25">
      <c r="A208" t="s">
        <v>73</v>
      </c>
      <c r="B208" t="s">
        <v>2</v>
      </c>
      <c r="C208">
        <v>2</v>
      </c>
      <c r="D208" t="s">
        <v>5</v>
      </c>
      <c r="E208">
        <v>6</v>
      </c>
      <c r="F208">
        <v>1</v>
      </c>
      <c r="G208">
        <v>3</v>
      </c>
      <c r="H208" t="s">
        <v>525</v>
      </c>
      <c r="I208">
        <f>IF(COUNTIF(OFICIAL!$C$74:$D$88, D208) &gt; 0, 1, 0)</f>
        <v>0</v>
      </c>
    </row>
    <row r="209" spans="1:9" x14ac:dyDescent="0.25">
      <c r="A209" t="s">
        <v>73</v>
      </c>
      <c r="B209" t="s">
        <v>2</v>
      </c>
      <c r="C209">
        <v>3</v>
      </c>
      <c r="D209" t="s">
        <v>6</v>
      </c>
      <c r="E209">
        <v>4</v>
      </c>
      <c r="F209">
        <v>0</v>
      </c>
      <c r="G209">
        <v>2</v>
      </c>
      <c r="H209" t="s">
        <v>536</v>
      </c>
      <c r="I209">
        <f>IF(COUNTIF(OFICIAL!$C$74:$D$88, D209) &gt; 0, 1, 0)</f>
        <v>0</v>
      </c>
    </row>
    <row r="210" spans="1:9" x14ac:dyDescent="0.25">
      <c r="A210" t="s">
        <v>73</v>
      </c>
      <c r="B210" t="s">
        <v>7</v>
      </c>
      <c r="C210">
        <v>1</v>
      </c>
      <c r="D210" t="s">
        <v>14</v>
      </c>
      <c r="E210">
        <v>7</v>
      </c>
      <c r="F210">
        <v>3</v>
      </c>
      <c r="G210">
        <v>5</v>
      </c>
      <c r="H210" t="s">
        <v>525</v>
      </c>
      <c r="I210">
        <f>IF(COUNTIF(OFICIAL!$C$74:$D$88, D210) &gt; 0, 1, 0)</f>
        <v>0</v>
      </c>
    </row>
    <row r="211" spans="1:9" x14ac:dyDescent="0.25">
      <c r="A211" t="s">
        <v>73</v>
      </c>
      <c r="B211" t="s">
        <v>7</v>
      </c>
      <c r="C211">
        <v>2</v>
      </c>
      <c r="D211" t="s">
        <v>8</v>
      </c>
      <c r="E211">
        <v>5</v>
      </c>
      <c r="F211">
        <v>1</v>
      </c>
      <c r="G211">
        <v>3</v>
      </c>
      <c r="H211" t="s">
        <v>525</v>
      </c>
      <c r="I211">
        <f>IF(COUNTIF(OFICIAL!$C$74:$D$88, D211) &gt; 0, 1, 0)</f>
        <v>0</v>
      </c>
    </row>
    <row r="212" spans="1:9" x14ac:dyDescent="0.25">
      <c r="A212" t="s">
        <v>73</v>
      </c>
      <c r="B212" t="s">
        <v>15</v>
      </c>
      <c r="C212">
        <v>1</v>
      </c>
      <c r="D212" t="s">
        <v>16</v>
      </c>
      <c r="E212">
        <v>9</v>
      </c>
      <c r="F212">
        <v>5</v>
      </c>
      <c r="G212">
        <v>5</v>
      </c>
      <c r="H212" t="s">
        <v>525</v>
      </c>
      <c r="I212">
        <f>IF(COUNTIF(OFICIAL!$C$74:$D$88, D212) &gt; 0, 1, 0)</f>
        <v>0</v>
      </c>
    </row>
    <row r="213" spans="1:9" x14ac:dyDescent="0.25">
      <c r="A213" t="s">
        <v>73</v>
      </c>
      <c r="B213" t="s">
        <v>15</v>
      </c>
      <c r="C213">
        <v>2</v>
      </c>
      <c r="D213" t="s">
        <v>17</v>
      </c>
      <c r="E213">
        <v>6</v>
      </c>
      <c r="F213">
        <v>3</v>
      </c>
      <c r="G213">
        <v>4</v>
      </c>
      <c r="H213" t="s">
        <v>525</v>
      </c>
      <c r="I213">
        <f>IF(COUNTIF(OFICIAL!$C$74:$D$88, D213) &gt; 0, 1, 0)</f>
        <v>0</v>
      </c>
    </row>
    <row r="214" spans="1:9" x14ac:dyDescent="0.25">
      <c r="A214" t="s">
        <v>73</v>
      </c>
      <c r="B214" t="s">
        <v>15</v>
      </c>
      <c r="C214">
        <v>3</v>
      </c>
      <c r="D214" t="s">
        <v>19</v>
      </c>
      <c r="E214">
        <v>3</v>
      </c>
      <c r="F214">
        <v>0</v>
      </c>
      <c r="G214">
        <v>2</v>
      </c>
      <c r="H214" t="s">
        <v>536</v>
      </c>
      <c r="I214">
        <f>IF(COUNTIF(OFICIAL!$C$74:$D$88, D214) &gt; 0, 1, 0)</f>
        <v>0</v>
      </c>
    </row>
    <row r="215" spans="1:9" x14ac:dyDescent="0.25">
      <c r="A215" t="s">
        <v>73</v>
      </c>
      <c r="B215" t="s">
        <v>10</v>
      </c>
      <c r="C215">
        <v>1</v>
      </c>
      <c r="D215" t="s">
        <v>21</v>
      </c>
      <c r="E215">
        <v>5</v>
      </c>
      <c r="F215">
        <v>2</v>
      </c>
      <c r="G215">
        <v>4</v>
      </c>
      <c r="H215" t="s">
        <v>525</v>
      </c>
      <c r="I215">
        <f>IF(COUNTIF(OFICIAL!$C$74:$D$88, D215) &gt; 0, 1, 0)</f>
        <v>0</v>
      </c>
    </row>
    <row r="216" spans="1:9" x14ac:dyDescent="0.25">
      <c r="A216" t="s">
        <v>73</v>
      </c>
      <c r="B216" t="s">
        <v>10</v>
      </c>
      <c r="C216">
        <v>2</v>
      </c>
      <c r="D216" t="s">
        <v>11</v>
      </c>
      <c r="E216">
        <v>5</v>
      </c>
      <c r="F216">
        <v>2</v>
      </c>
      <c r="G216">
        <v>3</v>
      </c>
      <c r="H216" t="s">
        <v>525</v>
      </c>
      <c r="I216">
        <f>IF(COUNTIF(OFICIAL!$C$74:$D$88, D216) &gt; 0, 1, 0)</f>
        <v>0</v>
      </c>
    </row>
    <row r="217" spans="1:9" x14ac:dyDescent="0.25">
      <c r="A217" t="s">
        <v>73</v>
      </c>
      <c r="B217" t="s">
        <v>10</v>
      </c>
      <c r="C217">
        <v>3</v>
      </c>
      <c r="D217" t="s">
        <v>12</v>
      </c>
      <c r="E217">
        <v>5</v>
      </c>
      <c r="F217">
        <v>1</v>
      </c>
      <c r="G217">
        <v>2</v>
      </c>
      <c r="H217" t="s">
        <v>536</v>
      </c>
      <c r="I217">
        <f>IF(COUNTIF(OFICIAL!$C$74:$D$88, D217) &gt; 0, 1, 0)</f>
        <v>0</v>
      </c>
    </row>
    <row r="218" spans="1:9" x14ac:dyDescent="0.25">
      <c r="A218" t="s">
        <v>73</v>
      </c>
      <c r="B218" t="s">
        <v>22</v>
      </c>
      <c r="C218">
        <v>1</v>
      </c>
      <c r="D218" t="s">
        <v>23</v>
      </c>
      <c r="E218">
        <v>7</v>
      </c>
      <c r="F218">
        <v>6</v>
      </c>
      <c r="G218">
        <v>7</v>
      </c>
      <c r="H218" t="s">
        <v>525</v>
      </c>
      <c r="I218">
        <f>IF(COUNTIF(OFICIAL!$C$74:$D$88, D218) &gt; 0, 1, 0)</f>
        <v>0</v>
      </c>
    </row>
    <row r="219" spans="1:9" x14ac:dyDescent="0.25">
      <c r="A219" t="s">
        <v>73</v>
      </c>
      <c r="B219" t="s">
        <v>22</v>
      </c>
      <c r="C219">
        <v>2</v>
      </c>
      <c r="D219" t="s">
        <v>29</v>
      </c>
      <c r="E219">
        <v>7</v>
      </c>
      <c r="F219">
        <v>3</v>
      </c>
      <c r="G219">
        <v>5</v>
      </c>
      <c r="H219" t="s">
        <v>525</v>
      </c>
      <c r="I219">
        <f>IF(COUNTIF(OFICIAL!$C$74:$D$88, D219) &gt; 0, 1, 0)</f>
        <v>0</v>
      </c>
    </row>
    <row r="220" spans="1:9" x14ac:dyDescent="0.25">
      <c r="A220" t="s">
        <v>73</v>
      </c>
      <c r="B220" t="s">
        <v>22</v>
      </c>
      <c r="C220">
        <v>3</v>
      </c>
      <c r="D220" t="s">
        <v>28</v>
      </c>
      <c r="E220">
        <v>3</v>
      </c>
      <c r="F220">
        <v>-1</v>
      </c>
      <c r="G220">
        <v>3</v>
      </c>
      <c r="H220" t="s">
        <v>536</v>
      </c>
      <c r="I220">
        <f>IF(COUNTIF(OFICIAL!$C$74:$D$88, D220) &gt; 0, 1, 0)</f>
        <v>0</v>
      </c>
    </row>
    <row r="221" spans="1:9" x14ac:dyDescent="0.25">
      <c r="A221" t="s">
        <v>73</v>
      </c>
      <c r="B221" t="s">
        <v>25</v>
      </c>
      <c r="C221">
        <v>1</v>
      </c>
      <c r="D221" t="s">
        <v>26</v>
      </c>
      <c r="E221">
        <v>9</v>
      </c>
      <c r="F221">
        <v>5</v>
      </c>
      <c r="G221">
        <v>6</v>
      </c>
      <c r="H221" t="s">
        <v>525</v>
      </c>
      <c r="I221">
        <f>IF(COUNTIF(OFICIAL!$C$74:$D$88, D221) &gt; 0, 1, 0)</f>
        <v>0</v>
      </c>
    </row>
    <row r="222" spans="1:9" x14ac:dyDescent="0.25">
      <c r="A222" t="s">
        <v>73</v>
      </c>
      <c r="B222" t="s">
        <v>25</v>
      </c>
      <c r="C222">
        <v>2</v>
      </c>
      <c r="D222" t="s">
        <v>27</v>
      </c>
      <c r="E222">
        <v>4</v>
      </c>
      <c r="F222">
        <v>0</v>
      </c>
      <c r="G222">
        <v>3</v>
      </c>
      <c r="H222" t="s">
        <v>525</v>
      </c>
      <c r="I222">
        <f>IF(COUNTIF(OFICIAL!$C$74:$D$88, D222) &gt; 0, 1, 0)</f>
        <v>0</v>
      </c>
    </row>
    <row r="223" spans="1:9" x14ac:dyDescent="0.25">
      <c r="A223" t="s">
        <v>73</v>
      </c>
      <c r="B223" t="s">
        <v>25</v>
      </c>
      <c r="C223">
        <v>3</v>
      </c>
      <c r="D223" t="s">
        <v>30</v>
      </c>
      <c r="E223">
        <v>4</v>
      </c>
      <c r="F223">
        <v>-1</v>
      </c>
      <c r="G223">
        <v>2</v>
      </c>
      <c r="H223" t="s">
        <v>536</v>
      </c>
      <c r="I223">
        <f>IF(COUNTIF(OFICIAL!$C$74:$D$88, D223) &gt; 0, 1, 0)</f>
        <v>0</v>
      </c>
    </row>
    <row r="224" spans="1:9" x14ac:dyDescent="0.25">
      <c r="A224" t="s">
        <v>73</v>
      </c>
      <c r="B224" t="s">
        <v>35</v>
      </c>
      <c r="C224">
        <v>1</v>
      </c>
      <c r="D224" t="s">
        <v>36</v>
      </c>
      <c r="E224">
        <v>9</v>
      </c>
      <c r="F224">
        <v>6</v>
      </c>
      <c r="G224">
        <v>6</v>
      </c>
      <c r="H224" t="s">
        <v>525</v>
      </c>
      <c r="I224">
        <f>IF(COUNTIF(OFICIAL!$C$74:$D$88, D224) &gt; 0, 1, 0)</f>
        <v>0</v>
      </c>
    </row>
    <row r="225" spans="1:10" x14ac:dyDescent="0.25">
      <c r="A225" t="s">
        <v>73</v>
      </c>
      <c r="B225" t="s">
        <v>35</v>
      </c>
      <c r="C225">
        <v>2</v>
      </c>
      <c r="D225" t="s">
        <v>37</v>
      </c>
      <c r="E225">
        <v>4</v>
      </c>
      <c r="F225">
        <v>0</v>
      </c>
      <c r="G225">
        <v>3</v>
      </c>
      <c r="H225" t="s">
        <v>525</v>
      </c>
      <c r="I225">
        <f>IF(COUNTIF(OFICIAL!$C$74:$D$88, D225) &gt; 0, 1, 0)</f>
        <v>0</v>
      </c>
    </row>
    <row r="226" spans="1:10" x14ac:dyDescent="0.25">
      <c r="A226" t="s">
        <v>73</v>
      </c>
      <c r="B226" t="s">
        <v>35</v>
      </c>
      <c r="C226">
        <v>3</v>
      </c>
      <c r="D226" t="s">
        <v>40</v>
      </c>
      <c r="E226">
        <v>4</v>
      </c>
      <c r="F226">
        <v>-1</v>
      </c>
      <c r="G226">
        <v>2</v>
      </c>
      <c r="H226" t="s">
        <v>536</v>
      </c>
      <c r="I226">
        <f>IF(COUNTIF(OFICIAL!$C$74:$D$88, D226) &gt; 0, 1, 0)</f>
        <v>0</v>
      </c>
    </row>
    <row r="227" spans="1:10" x14ac:dyDescent="0.25">
      <c r="A227" t="s">
        <v>73</v>
      </c>
      <c r="B227" t="s">
        <v>32</v>
      </c>
      <c r="C227">
        <v>1</v>
      </c>
      <c r="D227" t="s">
        <v>33</v>
      </c>
      <c r="E227">
        <v>9</v>
      </c>
      <c r="F227">
        <v>9</v>
      </c>
      <c r="G227">
        <v>9</v>
      </c>
      <c r="H227" t="s">
        <v>525</v>
      </c>
      <c r="I227">
        <f>IF(COUNTIF(OFICIAL!$C$74:$D$88, D227) &gt; 0, 1, 0)</f>
        <v>0</v>
      </c>
    </row>
    <row r="228" spans="1:10" x14ac:dyDescent="0.25">
      <c r="A228" t="s">
        <v>73</v>
      </c>
      <c r="B228" t="s">
        <v>32</v>
      </c>
      <c r="C228">
        <v>2</v>
      </c>
      <c r="D228" t="s">
        <v>39</v>
      </c>
      <c r="E228">
        <v>6</v>
      </c>
      <c r="F228">
        <v>1</v>
      </c>
      <c r="G228">
        <v>3</v>
      </c>
      <c r="H228" t="s">
        <v>525</v>
      </c>
      <c r="I228">
        <f>IF(COUNTIF(OFICIAL!$C$74:$D$88, D228) &gt; 0, 1, 0)</f>
        <v>0</v>
      </c>
    </row>
    <row r="229" spans="1:10" x14ac:dyDescent="0.25">
      <c r="A229" t="s">
        <v>73</v>
      </c>
      <c r="B229" t="s">
        <v>42</v>
      </c>
      <c r="C229">
        <v>1</v>
      </c>
      <c r="D229" t="s">
        <v>43</v>
      </c>
      <c r="E229">
        <v>9</v>
      </c>
      <c r="F229">
        <v>5</v>
      </c>
      <c r="G229">
        <v>7</v>
      </c>
      <c r="H229" t="s">
        <v>525</v>
      </c>
      <c r="I229">
        <f>IF(COUNTIF(OFICIAL!$C$74:$D$88, D229) &gt; 0, 1, 0)</f>
        <v>0</v>
      </c>
    </row>
    <row r="230" spans="1:10" x14ac:dyDescent="0.25">
      <c r="A230" t="s">
        <v>73</v>
      </c>
      <c r="B230" t="s">
        <v>42</v>
      </c>
      <c r="C230">
        <v>2</v>
      </c>
      <c r="D230" t="s">
        <v>44</v>
      </c>
      <c r="E230">
        <v>4</v>
      </c>
      <c r="F230">
        <v>0</v>
      </c>
      <c r="G230">
        <v>5</v>
      </c>
      <c r="H230" t="s">
        <v>525</v>
      </c>
      <c r="I230">
        <f>IF(COUNTIF(OFICIAL!$C$74:$D$88, D230) &gt; 0, 1, 0)</f>
        <v>0</v>
      </c>
    </row>
    <row r="231" spans="1:10" x14ac:dyDescent="0.25">
      <c r="A231" t="s">
        <v>73</v>
      </c>
      <c r="B231" t="s">
        <v>47</v>
      </c>
      <c r="C231">
        <v>1</v>
      </c>
      <c r="D231" t="s">
        <v>48</v>
      </c>
      <c r="E231">
        <v>7</v>
      </c>
      <c r="F231">
        <v>2</v>
      </c>
      <c r="G231">
        <v>3</v>
      </c>
      <c r="H231" t="s">
        <v>525</v>
      </c>
      <c r="I231">
        <f>IF(COUNTIF(OFICIAL!$C$74:$D$88, D231) &gt; 0, 1, 0)</f>
        <v>0</v>
      </c>
    </row>
    <row r="232" spans="1:10" x14ac:dyDescent="0.25">
      <c r="A232" t="s">
        <v>73</v>
      </c>
      <c r="B232" t="s">
        <v>47</v>
      </c>
      <c r="C232">
        <v>2</v>
      </c>
      <c r="D232" t="s">
        <v>49</v>
      </c>
      <c r="E232">
        <v>6</v>
      </c>
      <c r="F232">
        <v>2</v>
      </c>
      <c r="G232">
        <v>4</v>
      </c>
      <c r="H232" t="s">
        <v>525</v>
      </c>
      <c r="I232">
        <f>IF(COUNTIF(OFICIAL!$C$74:$D$88, D232) &gt; 0, 1, 0)</f>
        <v>0</v>
      </c>
    </row>
    <row r="233" spans="1:10" x14ac:dyDescent="0.25">
      <c r="A233" t="s">
        <v>73</v>
      </c>
      <c r="B233" t="s">
        <v>47</v>
      </c>
      <c r="C233">
        <v>3</v>
      </c>
      <c r="D233" t="s">
        <v>50</v>
      </c>
      <c r="E233">
        <v>4</v>
      </c>
      <c r="F233">
        <v>0</v>
      </c>
      <c r="G233">
        <v>3</v>
      </c>
      <c r="H233" t="s">
        <v>536</v>
      </c>
      <c r="I233">
        <f>IF(COUNTIF(OFICIAL!$C$74:$D$88, D233) &gt; 0, 1, 0)</f>
        <v>0</v>
      </c>
    </row>
    <row r="234" spans="1:10" x14ac:dyDescent="0.25">
      <c r="A234" t="s">
        <v>73</v>
      </c>
      <c r="B234" t="s">
        <v>52</v>
      </c>
      <c r="C234">
        <v>1</v>
      </c>
      <c r="D234" t="s">
        <v>53</v>
      </c>
      <c r="E234">
        <v>9</v>
      </c>
      <c r="F234">
        <v>5</v>
      </c>
      <c r="G234">
        <v>6</v>
      </c>
      <c r="H234" t="s">
        <v>525</v>
      </c>
      <c r="I234">
        <f>IF(COUNTIF(OFICIAL!$C$74:$D$88, D234) &gt; 0, 1, 0)</f>
        <v>0</v>
      </c>
    </row>
    <row r="235" spans="1:10" x14ac:dyDescent="0.25">
      <c r="A235" t="s">
        <v>73</v>
      </c>
      <c r="B235" t="s">
        <v>52</v>
      </c>
      <c r="C235">
        <v>2</v>
      </c>
      <c r="D235" t="s">
        <v>61</v>
      </c>
      <c r="E235">
        <v>6</v>
      </c>
      <c r="F235">
        <v>2</v>
      </c>
      <c r="G235">
        <v>4</v>
      </c>
      <c r="H235" t="s">
        <v>525</v>
      </c>
      <c r="I235">
        <f>IF(COUNTIF(OFICIAL!$C$74:$D$88, D235) &gt; 0, 1, 0)</f>
        <v>0</v>
      </c>
    </row>
    <row r="236" spans="1:10" x14ac:dyDescent="0.25">
      <c r="A236" t="s">
        <v>73</v>
      </c>
      <c r="B236" t="s">
        <v>55</v>
      </c>
      <c r="C236">
        <v>1</v>
      </c>
      <c r="D236" t="s">
        <v>56</v>
      </c>
      <c r="E236">
        <v>9</v>
      </c>
      <c r="F236">
        <v>6</v>
      </c>
      <c r="G236">
        <v>6</v>
      </c>
      <c r="H236" t="s">
        <v>525</v>
      </c>
      <c r="I236">
        <f>IF(COUNTIF(OFICIAL!$C$74:$D$88, D236) &gt; 0, 1, 0)</f>
        <v>0</v>
      </c>
    </row>
    <row r="237" spans="1:10" x14ac:dyDescent="0.25">
      <c r="A237" t="s">
        <v>73</v>
      </c>
      <c r="B237" t="s">
        <v>55</v>
      </c>
      <c r="C237">
        <v>2</v>
      </c>
      <c r="D237" t="s">
        <v>57</v>
      </c>
      <c r="E237">
        <v>6</v>
      </c>
      <c r="F237">
        <v>2</v>
      </c>
      <c r="G237">
        <v>4</v>
      </c>
      <c r="H237" t="s">
        <v>525</v>
      </c>
      <c r="I237">
        <f>IF(COUNTIF(OFICIAL!$C$74:$D$88, D237) &gt; 0, 1, 0)</f>
        <v>0</v>
      </c>
    </row>
    <row r="238" spans="1:10" x14ac:dyDescent="0.25">
      <c r="A238" t="s">
        <v>73</v>
      </c>
      <c r="B238" t="s">
        <v>55</v>
      </c>
      <c r="C238">
        <v>3</v>
      </c>
      <c r="D238" t="s">
        <v>58</v>
      </c>
      <c r="E238">
        <v>3</v>
      </c>
      <c r="F238">
        <v>-2</v>
      </c>
      <c r="G238">
        <v>2</v>
      </c>
      <c r="H238" t="s">
        <v>536</v>
      </c>
      <c r="I238">
        <f>IF(COUNTIF(OFICIAL!$C$74:$D$88, D238) &gt; 0, 1, 0)</f>
        <v>0</v>
      </c>
    </row>
    <row r="240" spans="1:10" ht="15.75" thickBot="1" x14ac:dyDescent="0.3">
      <c r="A240" s="23" t="s">
        <v>533</v>
      </c>
      <c r="B240" s="24"/>
      <c r="C240" s="24"/>
      <c r="D240" s="24"/>
      <c r="E240" s="24"/>
      <c r="F240" s="24"/>
      <c r="G240" s="24"/>
      <c r="H240" s="24"/>
      <c r="I240" s="24"/>
      <c r="J240" s="24"/>
    </row>
    <row r="241" spans="1:10" ht="15.75" thickBot="1" x14ac:dyDescent="0.3">
      <c r="A241" t="s">
        <v>75</v>
      </c>
      <c r="B241" t="s">
        <v>2</v>
      </c>
      <c r="C241">
        <v>1</v>
      </c>
      <c r="D241" t="s">
        <v>3</v>
      </c>
      <c r="E241">
        <v>9</v>
      </c>
      <c r="F241">
        <v>5</v>
      </c>
      <c r="G241">
        <v>7</v>
      </c>
      <c r="H241" t="s">
        <v>525</v>
      </c>
      <c r="I241">
        <f>IF(COUNTIF(OFICIAL!$C$74:$D$88, D241) &gt; 0, 1, 0)</f>
        <v>0</v>
      </c>
      <c r="J241" s="7">
        <f>SUM(I241:I272)</f>
        <v>0</v>
      </c>
    </row>
    <row r="242" spans="1:10" x14ac:dyDescent="0.25">
      <c r="A242" t="s">
        <v>75</v>
      </c>
      <c r="B242" t="s">
        <v>2</v>
      </c>
      <c r="C242">
        <v>2</v>
      </c>
      <c r="D242" t="s">
        <v>6</v>
      </c>
      <c r="E242">
        <v>6</v>
      </c>
      <c r="F242">
        <v>0</v>
      </c>
      <c r="G242">
        <v>5</v>
      </c>
      <c r="H242" t="s">
        <v>525</v>
      </c>
      <c r="I242">
        <f>IF(COUNTIF(OFICIAL!$C$74:$D$88, D242) &gt; 0, 1, 0)</f>
        <v>0</v>
      </c>
    </row>
    <row r="243" spans="1:10" x14ac:dyDescent="0.25">
      <c r="A243" t="s">
        <v>75</v>
      </c>
      <c r="B243" t="s">
        <v>2</v>
      </c>
      <c r="C243">
        <v>3</v>
      </c>
      <c r="D243" t="s">
        <v>5</v>
      </c>
      <c r="E243">
        <v>1</v>
      </c>
      <c r="F243">
        <v>-2</v>
      </c>
      <c r="G243">
        <v>3</v>
      </c>
      <c r="H243" t="s">
        <v>536</v>
      </c>
      <c r="I243">
        <f>IF(COUNTIF(OFICIAL!$C$74:$D$88, D243) &gt; 0, 1, 0)</f>
        <v>0</v>
      </c>
    </row>
    <row r="244" spans="1:10" x14ac:dyDescent="0.25">
      <c r="A244" t="s">
        <v>75</v>
      </c>
      <c r="B244" t="s">
        <v>7</v>
      </c>
      <c r="C244">
        <v>1</v>
      </c>
      <c r="D244" t="s">
        <v>14</v>
      </c>
      <c r="E244">
        <v>9</v>
      </c>
      <c r="F244">
        <v>5</v>
      </c>
      <c r="G244">
        <v>7</v>
      </c>
      <c r="H244" t="s">
        <v>525</v>
      </c>
      <c r="I244">
        <f>IF(COUNTIF(OFICIAL!$C$74:$D$88, D244) &gt; 0, 1, 0)</f>
        <v>0</v>
      </c>
    </row>
    <row r="245" spans="1:10" x14ac:dyDescent="0.25">
      <c r="A245" t="s">
        <v>75</v>
      </c>
      <c r="B245" t="s">
        <v>7</v>
      </c>
      <c r="C245">
        <v>2</v>
      </c>
      <c r="D245" t="s">
        <v>9</v>
      </c>
      <c r="E245">
        <v>4</v>
      </c>
      <c r="F245">
        <v>3</v>
      </c>
      <c r="G245">
        <v>6</v>
      </c>
      <c r="H245" t="s">
        <v>525</v>
      </c>
      <c r="I245">
        <f>IF(COUNTIF(OFICIAL!$C$74:$D$88, D245) &gt; 0, 1, 0)</f>
        <v>0</v>
      </c>
    </row>
    <row r="246" spans="1:10" x14ac:dyDescent="0.25">
      <c r="A246" t="s">
        <v>75</v>
      </c>
      <c r="B246" t="s">
        <v>7</v>
      </c>
      <c r="C246">
        <v>3</v>
      </c>
      <c r="D246" t="s">
        <v>8</v>
      </c>
      <c r="E246">
        <v>4</v>
      </c>
      <c r="F246">
        <v>0</v>
      </c>
      <c r="G246">
        <v>4</v>
      </c>
      <c r="H246" t="s">
        <v>536</v>
      </c>
      <c r="I246">
        <f>IF(COUNTIF(OFICIAL!$C$74:$D$88, D246) &gt; 0, 1, 0)</f>
        <v>0</v>
      </c>
    </row>
    <row r="247" spans="1:10" x14ac:dyDescent="0.25">
      <c r="A247" t="s">
        <v>75</v>
      </c>
      <c r="B247" t="s">
        <v>15</v>
      </c>
      <c r="C247">
        <v>1</v>
      </c>
      <c r="D247" t="s">
        <v>16</v>
      </c>
      <c r="E247">
        <v>9</v>
      </c>
      <c r="F247">
        <v>7</v>
      </c>
      <c r="G247">
        <v>9</v>
      </c>
      <c r="H247" t="s">
        <v>525</v>
      </c>
      <c r="I247">
        <f>IF(COUNTIF(OFICIAL!$C$74:$D$88, D247) &gt; 0, 1, 0)</f>
        <v>0</v>
      </c>
    </row>
    <row r="248" spans="1:10" x14ac:dyDescent="0.25">
      <c r="A248" t="s">
        <v>75</v>
      </c>
      <c r="B248" t="s">
        <v>15</v>
      </c>
      <c r="C248">
        <v>2</v>
      </c>
      <c r="D248" t="s">
        <v>17</v>
      </c>
      <c r="E248">
        <v>4</v>
      </c>
      <c r="F248">
        <v>0</v>
      </c>
      <c r="G248">
        <v>4</v>
      </c>
      <c r="H248" t="s">
        <v>525</v>
      </c>
      <c r="I248">
        <f>IF(COUNTIF(OFICIAL!$C$74:$D$88, D248) &gt; 0, 1, 0)</f>
        <v>0</v>
      </c>
    </row>
    <row r="249" spans="1:10" x14ac:dyDescent="0.25">
      <c r="A249" t="s">
        <v>75</v>
      </c>
      <c r="B249" t="s">
        <v>15</v>
      </c>
      <c r="C249">
        <v>3</v>
      </c>
      <c r="D249" t="s">
        <v>19</v>
      </c>
      <c r="E249">
        <v>4</v>
      </c>
      <c r="F249">
        <v>0</v>
      </c>
      <c r="G249">
        <v>4</v>
      </c>
      <c r="H249" t="s">
        <v>536</v>
      </c>
      <c r="I249">
        <f>IF(COUNTIF(OFICIAL!$C$74:$D$88, D249) &gt; 0, 1, 0)</f>
        <v>0</v>
      </c>
    </row>
    <row r="250" spans="1:10" x14ac:dyDescent="0.25">
      <c r="A250" t="s">
        <v>75</v>
      </c>
      <c r="B250" t="s">
        <v>10</v>
      </c>
      <c r="C250">
        <v>1</v>
      </c>
      <c r="D250" t="s">
        <v>21</v>
      </c>
      <c r="E250">
        <v>7</v>
      </c>
      <c r="F250">
        <v>2</v>
      </c>
      <c r="G250">
        <v>5</v>
      </c>
      <c r="H250" t="s">
        <v>525</v>
      </c>
      <c r="I250">
        <f>IF(COUNTIF(OFICIAL!$C$74:$D$88, D250) &gt; 0, 1, 0)</f>
        <v>0</v>
      </c>
    </row>
    <row r="251" spans="1:10" x14ac:dyDescent="0.25">
      <c r="A251" t="s">
        <v>75</v>
      </c>
      <c r="B251" t="s">
        <v>10</v>
      </c>
      <c r="C251">
        <v>2</v>
      </c>
      <c r="D251" t="s">
        <v>11</v>
      </c>
      <c r="E251">
        <v>7</v>
      </c>
      <c r="F251">
        <v>2</v>
      </c>
      <c r="G251">
        <v>4</v>
      </c>
      <c r="H251" t="s">
        <v>525</v>
      </c>
      <c r="I251">
        <f>IF(COUNTIF(OFICIAL!$C$74:$D$88, D251) &gt; 0, 1, 0)</f>
        <v>0</v>
      </c>
    </row>
    <row r="252" spans="1:10" x14ac:dyDescent="0.25">
      <c r="A252" t="s">
        <v>75</v>
      </c>
      <c r="B252" t="s">
        <v>10</v>
      </c>
      <c r="C252">
        <v>3</v>
      </c>
      <c r="D252" t="s">
        <v>12</v>
      </c>
      <c r="E252">
        <v>3</v>
      </c>
      <c r="F252">
        <v>-1</v>
      </c>
      <c r="G252">
        <v>2</v>
      </c>
      <c r="H252" t="s">
        <v>536</v>
      </c>
      <c r="I252">
        <f>IF(COUNTIF(OFICIAL!$C$74:$D$88, D252) &gt; 0, 1, 0)</f>
        <v>0</v>
      </c>
    </row>
    <row r="253" spans="1:10" x14ac:dyDescent="0.25">
      <c r="A253" t="s">
        <v>75</v>
      </c>
      <c r="B253" t="s">
        <v>22</v>
      </c>
      <c r="C253">
        <v>1</v>
      </c>
      <c r="D253" t="s">
        <v>23</v>
      </c>
      <c r="E253">
        <v>7</v>
      </c>
      <c r="F253">
        <v>6</v>
      </c>
      <c r="G253">
        <v>9</v>
      </c>
      <c r="H253" t="s">
        <v>525</v>
      </c>
      <c r="I253">
        <f>IF(COUNTIF(OFICIAL!$C$74:$D$88, D253) &gt; 0, 1, 0)</f>
        <v>0</v>
      </c>
    </row>
    <row r="254" spans="1:10" x14ac:dyDescent="0.25">
      <c r="A254" t="s">
        <v>75</v>
      </c>
      <c r="B254" t="s">
        <v>22</v>
      </c>
      <c r="C254">
        <v>2</v>
      </c>
      <c r="D254" t="s">
        <v>29</v>
      </c>
      <c r="E254">
        <v>7</v>
      </c>
      <c r="F254">
        <v>4</v>
      </c>
      <c r="G254">
        <v>8</v>
      </c>
      <c r="H254" t="s">
        <v>525</v>
      </c>
      <c r="I254">
        <f>IF(COUNTIF(OFICIAL!$C$74:$D$88, D254) &gt; 0, 1, 0)</f>
        <v>0</v>
      </c>
    </row>
    <row r="255" spans="1:10" x14ac:dyDescent="0.25">
      <c r="A255" t="s">
        <v>75</v>
      </c>
      <c r="B255" t="s">
        <v>25</v>
      </c>
      <c r="C255">
        <v>1</v>
      </c>
      <c r="D255" t="s">
        <v>26</v>
      </c>
      <c r="E255">
        <v>7</v>
      </c>
      <c r="F255">
        <v>4</v>
      </c>
      <c r="G255">
        <v>7</v>
      </c>
      <c r="H255" t="s">
        <v>525</v>
      </c>
      <c r="I255">
        <f>IF(COUNTIF(OFICIAL!$C$74:$D$88, D255) &gt; 0, 1, 0)</f>
        <v>0</v>
      </c>
    </row>
    <row r="256" spans="1:10" x14ac:dyDescent="0.25">
      <c r="A256" t="s">
        <v>75</v>
      </c>
      <c r="B256" t="s">
        <v>25</v>
      </c>
      <c r="C256">
        <v>2</v>
      </c>
      <c r="D256" t="s">
        <v>30</v>
      </c>
      <c r="E256">
        <v>5</v>
      </c>
      <c r="F256">
        <v>1</v>
      </c>
      <c r="G256">
        <v>5</v>
      </c>
      <c r="H256" t="s">
        <v>525</v>
      </c>
      <c r="I256">
        <f>IF(COUNTIF(OFICIAL!$C$74:$D$88, D256) &gt; 0, 1, 0)</f>
        <v>0</v>
      </c>
    </row>
    <row r="257" spans="1:9" x14ac:dyDescent="0.25">
      <c r="A257" t="s">
        <v>75</v>
      </c>
      <c r="B257" t="s">
        <v>25</v>
      </c>
      <c r="C257">
        <v>3</v>
      </c>
      <c r="D257" t="s">
        <v>27</v>
      </c>
      <c r="E257">
        <v>4</v>
      </c>
      <c r="F257">
        <v>1</v>
      </c>
      <c r="G257">
        <v>4</v>
      </c>
      <c r="H257" t="s">
        <v>536</v>
      </c>
      <c r="I257">
        <f>IF(COUNTIF(OFICIAL!$C$74:$D$88, D257) &gt; 0, 1, 0)</f>
        <v>0</v>
      </c>
    </row>
    <row r="258" spans="1:9" x14ac:dyDescent="0.25">
      <c r="A258" t="s">
        <v>75</v>
      </c>
      <c r="B258" t="s">
        <v>35</v>
      </c>
      <c r="C258">
        <v>1</v>
      </c>
      <c r="D258" t="s">
        <v>36</v>
      </c>
      <c r="E258">
        <v>9</v>
      </c>
      <c r="F258">
        <v>5</v>
      </c>
      <c r="G258">
        <v>7</v>
      </c>
      <c r="H258" t="s">
        <v>525</v>
      </c>
      <c r="I258">
        <f>IF(COUNTIF(OFICIAL!$C$74:$D$88, D258) &gt; 0, 1, 0)</f>
        <v>0</v>
      </c>
    </row>
    <row r="259" spans="1:9" x14ac:dyDescent="0.25">
      <c r="A259" t="s">
        <v>75</v>
      </c>
      <c r="B259" t="s">
        <v>35</v>
      </c>
      <c r="C259">
        <v>2</v>
      </c>
      <c r="D259" t="s">
        <v>37</v>
      </c>
      <c r="E259">
        <v>6</v>
      </c>
      <c r="F259">
        <v>2</v>
      </c>
      <c r="G259">
        <v>5</v>
      </c>
      <c r="H259" t="s">
        <v>525</v>
      </c>
      <c r="I259">
        <f>IF(COUNTIF(OFICIAL!$C$74:$D$88, D259) &gt; 0, 1, 0)</f>
        <v>0</v>
      </c>
    </row>
    <row r="260" spans="1:9" x14ac:dyDescent="0.25">
      <c r="A260" t="s">
        <v>75</v>
      </c>
      <c r="B260" t="s">
        <v>32</v>
      </c>
      <c r="C260">
        <v>1</v>
      </c>
      <c r="D260" t="s">
        <v>33</v>
      </c>
      <c r="E260">
        <v>7</v>
      </c>
      <c r="F260">
        <v>4</v>
      </c>
      <c r="G260">
        <v>7</v>
      </c>
      <c r="H260" t="s">
        <v>525</v>
      </c>
      <c r="I260">
        <f>IF(COUNTIF(OFICIAL!$C$74:$D$88, D260) &gt; 0, 1, 0)</f>
        <v>0</v>
      </c>
    </row>
    <row r="261" spans="1:9" x14ac:dyDescent="0.25">
      <c r="A261" t="s">
        <v>75</v>
      </c>
      <c r="B261" t="s">
        <v>32</v>
      </c>
      <c r="C261">
        <v>2</v>
      </c>
      <c r="D261" t="s">
        <v>39</v>
      </c>
      <c r="E261">
        <v>7</v>
      </c>
      <c r="F261">
        <v>3</v>
      </c>
      <c r="G261">
        <v>7</v>
      </c>
      <c r="H261" t="s">
        <v>525</v>
      </c>
      <c r="I261">
        <f>IF(COUNTIF(OFICIAL!$C$74:$D$88, D261) &gt; 0, 1, 0)</f>
        <v>0</v>
      </c>
    </row>
    <row r="262" spans="1:9" x14ac:dyDescent="0.25">
      <c r="A262" t="s">
        <v>75</v>
      </c>
      <c r="B262" t="s">
        <v>42</v>
      </c>
      <c r="C262">
        <v>1</v>
      </c>
      <c r="D262" t="s">
        <v>43</v>
      </c>
      <c r="E262">
        <v>9</v>
      </c>
      <c r="F262">
        <v>5</v>
      </c>
      <c r="G262">
        <v>7</v>
      </c>
      <c r="H262" t="s">
        <v>525</v>
      </c>
      <c r="I262">
        <f>IF(COUNTIF(OFICIAL!$C$74:$D$88, D262) &gt; 0, 1, 0)</f>
        <v>0</v>
      </c>
    </row>
    <row r="263" spans="1:9" x14ac:dyDescent="0.25">
      <c r="A263" t="s">
        <v>75</v>
      </c>
      <c r="B263" t="s">
        <v>42</v>
      </c>
      <c r="C263">
        <v>2</v>
      </c>
      <c r="D263" t="s">
        <v>46</v>
      </c>
      <c r="E263">
        <v>6</v>
      </c>
      <c r="F263">
        <v>2</v>
      </c>
      <c r="G263">
        <v>6</v>
      </c>
      <c r="H263" t="s">
        <v>525</v>
      </c>
      <c r="I263">
        <f>IF(COUNTIF(OFICIAL!$C$74:$D$88, D263) &gt; 0, 1, 0)</f>
        <v>0</v>
      </c>
    </row>
    <row r="264" spans="1:9" x14ac:dyDescent="0.25">
      <c r="A264" t="s">
        <v>75</v>
      </c>
      <c r="B264" t="s">
        <v>47</v>
      </c>
      <c r="C264">
        <v>1</v>
      </c>
      <c r="D264" t="s">
        <v>48</v>
      </c>
      <c r="E264">
        <v>9</v>
      </c>
      <c r="F264">
        <v>5</v>
      </c>
      <c r="G264">
        <v>8</v>
      </c>
      <c r="H264" t="s">
        <v>525</v>
      </c>
      <c r="I264">
        <f>IF(COUNTIF(OFICIAL!$C$74:$D$88, D264) &gt; 0, 1, 0)</f>
        <v>0</v>
      </c>
    </row>
    <row r="265" spans="1:9" x14ac:dyDescent="0.25">
      <c r="A265" t="s">
        <v>75</v>
      </c>
      <c r="B265" t="s">
        <v>47</v>
      </c>
      <c r="C265">
        <v>2</v>
      </c>
      <c r="D265" t="s">
        <v>50</v>
      </c>
      <c r="E265">
        <v>6</v>
      </c>
      <c r="F265">
        <v>2</v>
      </c>
      <c r="G265">
        <v>5</v>
      </c>
      <c r="H265" t="s">
        <v>525</v>
      </c>
      <c r="I265">
        <f>IF(COUNTIF(OFICIAL!$C$74:$D$88, D265) &gt; 0, 1, 0)</f>
        <v>0</v>
      </c>
    </row>
    <row r="266" spans="1:9" x14ac:dyDescent="0.25">
      <c r="A266" t="s">
        <v>75</v>
      </c>
      <c r="B266" t="s">
        <v>47</v>
      </c>
      <c r="C266">
        <v>3</v>
      </c>
      <c r="D266" t="s">
        <v>49</v>
      </c>
      <c r="E266">
        <v>3</v>
      </c>
      <c r="F266">
        <v>-2</v>
      </c>
      <c r="G266">
        <v>4</v>
      </c>
      <c r="H266" t="s">
        <v>536</v>
      </c>
      <c r="I266">
        <f>IF(COUNTIF(OFICIAL!$C$74:$D$88, D266) &gt; 0, 1, 0)</f>
        <v>0</v>
      </c>
    </row>
    <row r="267" spans="1:9" x14ac:dyDescent="0.25">
      <c r="A267" t="s">
        <v>75</v>
      </c>
      <c r="B267" t="s">
        <v>52</v>
      </c>
      <c r="C267">
        <v>1</v>
      </c>
      <c r="D267" t="s">
        <v>53</v>
      </c>
      <c r="E267">
        <v>9</v>
      </c>
      <c r="F267">
        <v>5</v>
      </c>
      <c r="G267">
        <v>8</v>
      </c>
      <c r="H267" t="s">
        <v>525</v>
      </c>
      <c r="I267">
        <f>IF(COUNTIF(OFICIAL!$C$74:$D$88, D267) &gt; 0, 1, 0)</f>
        <v>0</v>
      </c>
    </row>
    <row r="268" spans="1:9" x14ac:dyDescent="0.25">
      <c r="A268" t="s">
        <v>75</v>
      </c>
      <c r="B268" t="s">
        <v>52</v>
      </c>
      <c r="C268">
        <v>2</v>
      </c>
      <c r="D268" t="s">
        <v>61</v>
      </c>
      <c r="E268">
        <v>6</v>
      </c>
      <c r="F268">
        <v>3</v>
      </c>
      <c r="G268">
        <v>7</v>
      </c>
      <c r="H268" t="s">
        <v>525</v>
      </c>
      <c r="I268">
        <f>IF(COUNTIF(OFICIAL!$C$74:$D$88, D268) &gt; 0, 1, 0)</f>
        <v>0</v>
      </c>
    </row>
    <row r="269" spans="1:9" x14ac:dyDescent="0.25">
      <c r="A269" t="s">
        <v>75</v>
      </c>
      <c r="B269" t="s">
        <v>52</v>
      </c>
      <c r="C269">
        <v>3</v>
      </c>
      <c r="D269" t="s">
        <v>54</v>
      </c>
      <c r="E269">
        <v>3</v>
      </c>
      <c r="F269">
        <v>-3</v>
      </c>
      <c r="G269">
        <v>4</v>
      </c>
      <c r="H269" t="s">
        <v>536</v>
      </c>
      <c r="I269">
        <f>IF(COUNTIF(OFICIAL!$C$74:$D$88, D269) &gt; 0, 1, 0)</f>
        <v>0</v>
      </c>
    </row>
    <row r="270" spans="1:9" x14ac:dyDescent="0.25">
      <c r="A270" t="s">
        <v>75</v>
      </c>
      <c r="B270" t="s">
        <v>55</v>
      </c>
      <c r="C270">
        <v>1</v>
      </c>
      <c r="D270" t="s">
        <v>56</v>
      </c>
      <c r="E270">
        <v>7</v>
      </c>
      <c r="F270">
        <v>4</v>
      </c>
      <c r="G270">
        <v>6</v>
      </c>
      <c r="H270" t="s">
        <v>525</v>
      </c>
      <c r="I270">
        <f>IF(COUNTIF(OFICIAL!$C$74:$D$88, D270) &gt; 0, 1, 0)</f>
        <v>0</v>
      </c>
    </row>
    <row r="271" spans="1:9" x14ac:dyDescent="0.25">
      <c r="A271" t="s">
        <v>75</v>
      </c>
      <c r="B271" t="s">
        <v>55</v>
      </c>
      <c r="C271">
        <v>2</v>
      </c>
      <c r="D271" t="s">
        <v>57</v>
      </c>
      <c r="E271">
        <v>7</v>
      </c>
      <c r="F271">
        <v>3</v>
      </c>
      <c r="G271">
        <v>5</v>
      </c>
      <c r="H271" t="s">
        <v>525</v>
      </c>
      <c r="I271">
        <f>IF(COUNTIF(OFICIAL!$C$74:$D$88, D271) &gt; 0, 1, 0)</f>
        <v>0</v>
      </c>
    </row>
    <row r="272" spans="1:9" x14ac:dyDescent="0.25">
      <c r="A272" t="s">
        <v>75</v>
      </c>
      <c r="B272" t="s">
        <v>55</v>
      </c>
      <c r="C272">
        <v>3</v>
      </c>
      <c r="D272" t="s">
        <v>59</v>
      </c>
      <c r="E272">
        <v>3</v>
      </c>
      <c r="F272">
        <v>-2</v>
      </c>
      <c r="G272">
        <v>3</v>
      </c>
      <c r="H272" t="s">
        <v>536</v>
      </c>
      <c r="I272">
        <f>IF(COUNTIF(OFICIAL!$C$74:$D$88, D272) &gt; 0, 1, 0)</f>
        <v>0</v>
      </c>
    </row>
    <row r="274" spans="1:10" ht="15.75" thickBot="1" x14ac:dyDescent="0.3">
      <c r="A274" s="23" t="s">
        <v>534</v>
      </c>
      <c r="B274" s="24"/>
      <c r="C274" s="24"/>
      <c r="D274" s="24"/>
      <c r="E274" s="24"/>
      <c r="F274" s="24"/>
      <c r="G274" s="24"/>
      <c r="H274" s="24"/>
      <c r="I274" s="24"/>
      <c r="J274" s="24"/>
    </row>
    <row r="275" spans="1:10" ht="15.75" thickBot="1" x14ac:dyDescent="0.3">
      <c r="A275" t="s">
        <v>77</v>
      </c>
      <c r="B275" t="s">
        <v>2</v>
      </c>
      <c r="C275">
        <v>1</v>
      </c>
      <c r="D275" t="s">
        <v>3</v>
      </c>
      <c r="E275">
        <v>9</v>
      </c>
      <c r="F275">
        <v>6</v>
      </c>
      <c r="G275">
        <v>7</v>
      </c>
      <c r="H275" t="s">
        <v>525</v>
      </c>
      <c r="I275">
        <f>IF(COUNTIF(OFICIAL!$C$74:$D$88, D275) &gt; 0, 1, 0)</f>
        <v>0</v>
      </c>
      <c r="J275" s="7">
        <f>SUM(I275:I306)</f>
        <v>0</v>
      </c>
    </row>
    <row r="276" spans="1:10" x14ac:dyDescent="0.25">
      <c r="A276" t="s">
        <v>77</v>
      </c>
      <c r="B276" t="s">
        <v>2</v>
      </c>
      <c r="C276">
        <v>2</v>
      </c>
      <c r="D276" t="s">
        <v>5</v>
      </c>
      <c r="E276">
        <v>4</v>
      </c>
      <c r="F276">
        <v>3</v>
      </c>
      <c r="G276">
        <v>6</v>
      </c>
      <c r="H276" t="s">
        <v>525</v>
      </c>
      <c r="I276">
        <f>IF(COUNTIF(OFICIAL!$C$74:$D$88, D276) &gt; 0, 1, 0)</f>
        <v>0</v>
      </c>
    </row>
    <row r="277" spans="1:10" x14ac:dyDescent="0.25">
      <c r="A277" t="s">
        <v>77</v>
      </c>
      <c r="B277" t="s">
        <v>2</v>
      </c>
      <c r="C277">
        <v>3</v>
      </c>
      <c r="D277" t="s">
        <v>6</v>
      </c>
      <c r="E277">
        <v>4</v>
      </c>
      <c r="F277">
        <v>0</v>
      </c>
      <c r="G277">
        <v>3</v>
      </c>
      <c r="H277" t="s">
        <v>536</v>
      </c>
      <c r="I277">
        <f>IF(COUNTIF(OFICIAL!$C$74:$D$88, D277) &gt; 0, 1, 0)</f>
        <v>0</v>
      </c>
    </row>
    <row r="278" spans="1:10" x14ac:dyDescent="0.25">
      <c r="A278" t="s">
        <v>77</v>
      </c>
      <c r="B278" t="s">
        <v>7</v>
      </c>
      <c r="C278">
        <v>1</v>
      </c>
      <c r="D278" t="s">
        <v>14</v>
      </c>
      <c r="E278">
        <v>7</v>
      </c>
      <c r="F278">
        <v>5</v>
      </c>
      <c r="G278">
        <v>6</v>
      </c>
      <c r="H278" t="s">
        <v>525</v>
      </c>
      <c r="I278">
        <f>IF(COUNTIF(OFICIAL!$C$74:$D$88, D278) &gt; 0, 1, 0)</f>
        <v>0</v>
      </c>
    </row>
    <row r="279" spans="1:10" x14ac:dyDescent="0.25">
      <c r="A279" t="s">
        <v>77</v>
      </c>
      <c r="B279" t="s">
        <v>7</v>
      </c>
      <c r="C279">
        <v>2</v>
      </c>
      <c r="D279" t="s">
        <v>8</v>
      </c>
      <c r="E279">
        <v>7</v>
      </c>
      <c r="F279">
        <v>4</v>
      </c>
      <c r="G279">
        <v>5</v>
      </c>
      <c r="H279" t="s">
        <v>525</v>
      </c>
      <c r="I279">
        <f>IF(COUNTIF(OFICIAL!$C$74:$D$88, D279) &gt; 0, 1, 0)</f>
        <v>0</v>
      </c>
    </row>
    <row r="280" spans="1:10" x14ac:dyDescent="0.25">
      <c r="A280" t="s">
        <v>77</v>
      </c>
      <c r="B280" t="s">
        <v>15</v>
      </c>
      <c r="C280">
        <v>1</v>
      </c>
      <c r="D280" t="s">
        <v>16</v>
      </c>
      <c r="E280">
        <v>9</v>
      </c>
      <c r="F280">
        <v>6</v>
      </c>
      <c r="G280">
        <v>8</v>
      </c>
      <c r="H280" t="s">
        <v>525</v>
      </c>
      <c r="I280">
        <f>IF(COUNTIF(OFICIAL!$C$74:$D$88, D280) &gt; 0, 1, 0)</f>
        <v>0</v>
      </c>
    </row>
    <row r="281" spans="1:10" x14ac:dyDescent="0.25">
      <c r="A281" t="s">
        <v>77</v>
      </c>
      <c r="B281" t="s">
        <v>15</v>
      </c>
      <c r="C281">
        <v>2</v>
      </c>
      <c r="D281" t="s">
        <v>17</v>
      </c>
      <c r="E281">
        <v>6</v>
      </c>
      <c r="F281">
        <v>2</v>
      </c>
      <c r="G281">
        <v>5</v>
      </c>
      <c r="H281" t="s">
        <v>525</v>
      </c>
      <c r="I281">
        <f>IF(COUNTIF(OFICIAL!$C$74:$D$88, D281) &gt; 0, 1, 0)</f>
        <v>0</v>
      </c>
    </row>
    <row r="282" spans="1:10" x14ac:dyDescent="0.25">
      <c r="A282" t="s">
        <v>77</v>
      </c>
      <c r="B282" t="s">
        <v>10</v>
      </c>
      <c r="C282">
        <v>1</v>
      </c>
      <c r="D282" t="s">
        <v>11</v>
      </c>
      <c r="E282">
        <v>7</v>
      </c>
      <c r="F282">
        <v>3</v>
      </c>
      <c r="G282">
        <v>5</v>
      </c>
      <c r="H282" t="s">
        <v>525</v>
      </c>
      <c r="I282">
        <f>IF(COUNTIF(OFICIAL!$C$74:$D$88, D282) &gt; 0, 1, 0)</f>
        <v>0</v>
      </c>
    </row>
    <row r="283" spans="1:10" x14ac:dyDescent="0.25">
      <c r="A283" t="s">
        <v>77</v>
      </c>
      <c r="B283" t="s">
        <v>10</v>
      </c>
      <c r="C283">
        <v>2</v>
      </c>
      <c r="D283" t="s">
        <v>21</v>
      </c>
      <c r="E283">
        <v>6</v>
      </c>
      <c r="F283">
        <v>2</v>
      </c>
      <c r="G283">
        <v>6</v>
      </c>
      <c r="H283" t="s">
        <v>525</v>
      </c>
      <c r="I283">
        <f>IF(COUNTIF(OFICIAL!$C$74:$D$88, D283) &gt; 0, 1, 0)</f>
        <v>0</v>
      </c>
    </row>
    <row r="284" spans="1:10" x14ac:dyDescent="0.25">
      <c r="A284" t="s">
        <v>77</v>
      </c>
      <c r="B284" t="s">
        <v>10</v>
      </c>
      <c r="C284">
        <v>3</v>
      </c>
      <c r="D284" t="s">
        <v>12</v>
      </c>
      <c r="E284">
        <v>4</v>
      </c>
      <c r="F284">
        <v>0</v>
      </c>
      <c r="G284">
        <v>4</v>
      </c>
      <c r="H284" t="s">
        <v>536</v>
      </c>
      <c r="I284">
        <f>IF(COUNTIF(OFICIAL!$C$74:$D$88, D284) &gt; 0, 1, 0)</f>
        <v>0</v>
      </c>
    </row>
    <row r="285" spans="1:10" x14ac:dyDescent="0.25">
      <c r="A285" t="s">
        <v>77</v>
      </c>
      <c r="B285" t="s">
        <v>22</v>
      </c>
      <c r="C285">
        <v>1</v>
      </c>
      <c r="D285" t="s">
        <v>23</v>
      </c>
      <c r="E285">
        <v>9</v>
      </c>
      <c r="F285">
        <v>7</v>
      </c>
      <c r="G285">
        <v>8</v>
      </c>
      <c r="H285" t="s">
        <v>525</v>
      </c>
      <c r="I285">
        <f>IF(COUNTIF(OFICIAL!$C$74:$D$88, D285) &gt; 0, 1, 0)</f>
        <v>0</v>
      </c>
    </row>
    <row r="286" spans="1:10" x14ac:dyDescent="0.25">
      <c r="A286" t="s">
        <v>77</v>
      </c>
      <c r="B286" t="s">
        <v>22</v>
      </c>
      <c r="C286">
        <v>2</v>
      </c>
      <c r="D286" t="s">
        <v>29</v>
      </c>
      <c r="E286">
        <v>4</v>
      </c>
      <c r="F286">
        <v>0</v>
      </c>
      <c r="G286">
        <v>4</v>
      </c>
      <c r="H286" t="s">
        <v>525</v>
      </c>
      <c r="I286">
        <f>IF(COUNTIF(OFICIAL!$C$74:$D$88, D286) &gt; 0, 1, 0)</f>
        <v>0</v>
      </c>
    </row>
    <row r="287" spans="1:10" x14ac:dyDescent="0.25">
      <c r="A287" t="s">
        <v>77</v>
      </c>
      <c r="B287" t="s">
        <v>22</v>
      </c>
      <c r="C287">
        <v>3</v>
      </c>
      <c r="D287" t="s">
        <v>28</v>
      </c>
      <c r="E287">
        <v>2</v>
      </c>
      <c r="F287">
        <v>-2</v>
      </c>
      <c r="G287">
        <v>1</v>
      </c>
      <c r="H287" t="s">
        <v>536</v>
      </c>
      <c r="I287">
        <f>IF(COUNTIF(OFICIAL!$C$74:$D$88, D287) &gt; 0, 1, 0)</f>
        <v>0</v>
      </c>
    </row>
    <row r="288" spans="1:10" x14ac:dyDescent="0.25">
      <c r="A288" t="s">
        <v>77</v>
      </c>
      <c r="B288" t="s">
        <v>25</v>
      </c>
      <c r="C288">
        <v>1</v>
      </c>
      <c r="D288" t="s">
        <v>27</v>
      </c>
      <c r="E288">
        <v>7</v>
      </c>
      <c r="F288">
        <v>4</v>
      </c>
      <c r="G288">
        <v>6</v>
      </c>
      <c r="H288" t="s">
        <v>525</v>
      </c>
      <c r="I288">
        <f>IF(COUNTIF(OFICIAL!$C$74:$D$88, D288) &gt; 0, 1, 0)</f>
        <v>0</v>
      </c>
    </row>
    <row r="289" spans="1:9" x14ac:dyDescent="0.25">
      <c r="A289" t="s">
        <v>77</v>
      </c>
      <c r="B289" t="s">
        <v>25</v>
      </c>
      <c r="C289">
        <v>2</v>
      </c>
      <c r="D289" t="s">
        <v>26</v>
      </c>
      <c r="E289">
        <v>7</v>
      </c>
      <c r="F289">
        <v>3</v>
      </c>
      <c r="G289">
        <v>5</v>
      </c>
      <c r="H289" t="s">
        <v>525</v>
      </c>
      <c r="I289">
        <f>IF(COUNTIF(OFICIAL!$C$74:$D$88, D289) &gt; 0, 1, 0)</f>
        <v>0</v>
      </c>
    </row>
    <row r="290" spans="1:9" x14ac:dyDescent="0.25">
      <c r="A290" t="s">
        <v>77</v>
      </c>
      <c r="B290" t="s">
        <v>25</v>
      </c>
      <c r="C290">
        <v>3</v>
      </c>
      <c r="D290" t="s">
        <v>30</v>
      </c>
      <c r="E290">
        <v>3</v>
      </c>
      <c r="F290">
        <v>0</v>
      </c>
      <c r="G290">
        <v>4</v>
      </c>
      <c r="H290" t="s">
        <v>536</v>
      </c>
      <c r="I290">
        <f>IF(COUNTIF(OFICIAL!$C$74:$D$88, D290) &gt; 0, 1, 0)</f>
        <v>0</v>
      </c>
    </row>
    <row r="291" spans="1:9" x14ac:dyDescent="0.25">
      <c r="A291" t="s">
        <v>77</v>
      </c>
      <c r="B291" t="s">
        <v>35</v>
      </c>
      <c r="C291">
        <v>1</v>
      </c>
      <c r="D291" t="s">
        <v>36</v>
      </c>
      <c r="E291">
        <v>9</v>
      </c>
      <c r="F291">
        <v>6</v>
      </c>
      <c r="G291">
        <v>7</v>
      </c>
      <c r="H291" t="s">
        <v>525</v>
      </c>
      <c r="I291">
        <f>IF(COUNTIF(OFICIAL!$C$74:$D$88, D291) &gt; 0, 1, 0)</f>
        <v>0</v>
      </c>
    </row>
    <row r="292" spans="1:9" x14ac:dyDescent="0.25">
      <c r="A292" t="s">
        <v>77</v>
      </c>
      <c r="B292" t="s">
        <v>35</v>
      </c>
      <c r="C292">
        <v>2</v>
      </c>
      <c r="D292" t="s">
        <v>37</v>
      </c>
      <c r="E292">
        <v>6</v>
      </c>
      <c r="F292">
        <v>2</v>
      </c>
      <c r="G292">
        <v>7</v>
      </c>
      <c r="H292" t="s">
        <v>525</v>
      </c>
      <c r="I292">
        <f>IF(COUNTIF(OFICIAL!$C$74:$D$88, D292) &gt; 0, 1, 0)</f>
        <v>0</v>
      </c>
    </row>
    <row r="293" spans="1:9" x14ac:dyDescent="0.25">
      <c r="A293" t="s">
        <v>77</v>
      </c>
      <c r="B293" t="s">
        <v>32</v>
      </c>
      <c r="C293">
        <v>1</v>
      </c>
      <c r="D293" t="s">
        <v>33</v>
      </c>
      <c r="E293">
        <v>9</v>
      </c>
      <c r="F293">
        <v>7</v>
      </c>
      <c r="G293">
        <v>9</v>
      </c>
      <c r="H293" t="s">
        <v>525</v>
      </c>
      <c r="I293">
        <f>IF(COUNTIF(OFICIAL!$C$74:$D$88, D293) &gt; 0, 1, 0)</f>
        <v>0</v>
      </c>
    </row>
    <row r="294" spans="1:9" x14ac:dyDescent="0.25">
      <c r="A294" t="s">
        <v>77</v>
      </c>
      <c r="B294" t="s">
        <v>32</v>
      </c>
      <c r="C294">
        <v>2</v>
      </c>
      <c r="D294" t="s">
        <v>39</v>
      </c>
      <c r="E294">
        <v>6</v>
      </c>
      <c r="F294">
        <v>2</v>
      </c>
      <c r="G294">
        <v>5</v>
      </c>
      <c r="H294" t="s">
        <v>525</v>
      </c>
      <c r="I294">
        <f>IF(COUNTIF(OFICIAL!$C$74:$D$88, D294) &gt; 0, 1, 0)</f>
        <v>0</v>
      </c>
    </row>
    <row r="295" spans="1:9" x14ac:dyDescent="0.25">
      <c r="A295" t="s">
        <v>77</v>
      </c>
      <c r="B295" t="s">
        <v>42</v>
      </c>
      <c r="C295">
        <v>1</v>
      </c>
      <c r="D295" t="s">
        <v>43</v>
      </c>
      <c r="E295">
        <v>7</v>
      </c>
      <c r="F295">
        <v>4</v>
      </c>
      <c r="G295">
        <v>6</v>
      </c>
      <c r="H295" t="s">
        <v>525</v>
      </c>
      <c r="I295">
        <f>IF(COUNTIF(OFICIAL!$C$74:$D$88, D295) &gt; 0, 1, 0)</f>
        <v>0</v>
      </c>
    </row>
    <row r="296" spans="1:9" x14ac:dyDescent="0.25">
      <c r="A296" t="s">
        <v>77</v>
      </c>
      <c r="B296" t="s">
        <v>42</v>
      </c>
      <c r="C296">
        <v>2</v>
      </c>
      <c r="D296" t="s">
        <v>44</v>
      </c>
      <c r="E296">
        <v>7</v>
      </c>
      <c r="F296">
        <v>2</v>
      </c>
      <c r="G296">
        <v>5</v>
      </c>
      <c r="H296" t="s">
        <v>525</v>
      </c>
      <c r="I296">
        <f>IF(COUNTIF(OFICIAL!$C$74:$D$88, D296) &gt; 0, 1, 0)</f>
        <v>0</v>
      </c>
    </row>
    <row r="297" spans="1:9" x14ac:dyDescent="0.25">
      <c r="A297" t="s">
        <v>77</v>
      </c>
      <c r="B297" t="s">
        <v>42</v>
      </c>
      <c r="C297">
        <v>3</v>
      </c>
      <c r="D297" t="s">
        <v>46</v>
      </c>
      <c r="E297">
        <v>3</v>
      </c>
      <c r="F297">
        <v>0</v>
      </c>
      <c r="G297">
        <v>5</v>
      </c>
      <c r="H297" t="s">
        <v>536</v>
      </c>
      <c r="I297">
        <f>IF(COUNTIF(OFICIAL!$C$74:$D$88, D297) &gt; 0, 1, 0)</f>
        <v>0</v>
      </c>
    </row>
    <row r="298" spans="1:9" x14ac:dyDescent="0.25">
      <c r="A298" t="s">
        <v>77</v>
      </c>
      <c r="B298" t="s">
        <v>47</v>
      </c>
      <c r="C298">
        <v>1</v>
      </c>
      <c r="D298" t="s">
        <v>48</v>
      </c>
      <c r="E298">
        <v>9</v>
      </c>
      <c r="F298">
        <v>7</v>
      </c>
      <c r="G298">
        <v>8</v>
      </c>
      <c r="H298" t="s">
        <v>525</v>
      </c>
      <c r="I298">
        <f>IF(COUNTIF(OFICIAL!$C$74:$D$88, D298) &gt; 0, 1, 0)</f>
        <v>0</v>
      </c>
    </row>
    <row r="299" spans="1:9" x14ac:dyDescent="0.25">
      <c r="A299" t="s">
        <v>77</v>
      </c>
      <c r="B299" t="s">
        <v>47</v>
      </c>
      <c r="C299">
        <v>2</v>
      </c>
      <c r="D299" t="s">
        <v>50</v>
      </c>
      <c r="E299">
        <v>4</v>
      </c>
      <c r="F299">
        <v>0</v>
      </c>
      <c r="G299">
        <v>2</v>
      </c>
      <c r="H299" t="s">
        <v>525</v>
      </c>
      <c r="I299">
        <f>IF(COUNTIF(OFICIAL!$C$74:$D$88, D299) &gt; 0, 1, 0)</f>
        <v>0</v>
      </c>
    </row>
    <row r="300" spans="1:9" x14ac:dyDescent="0.25">
      <c r="A300" t="s">
        <v>77</v>
      </c>
      <c r="B300" t="s">
        <v>47</v>
      </c>
      <c r="C300">
        <v>3</v>
      </c>
      <c r="D300" t="s">
        <v>49</v>
      </c>
      <c r="E300">
        <v>2</v>
      </c>
      <c r="F300">
        <v>-4</v>
      </c>
      <c r="G300">
        <v>0</v>
      </c>
      <c r="H300" t="s">
        <v>536</v>
      </c>
      <c r="I300">
        <f>IF(COUNTIF(OFICIAL!$C$74:$D$88, D300) &gt; 0, 1, 0)</f>
        <v>0</v>
      </c>
    </row>
    <row r="301" spans="1:9" x14ac:dyDescent="0.25">
      <c r="A301" t="s">
        <v>77</v>
      </c>
      <c r="B301" t="s">
        <v>52</v>
      </c>
      <c r="C301">
        <v>1</v>
      </c>
      <c r="D301" t="s">
        <v>53</v>
      </c>
      <c r="E301">
        <v>9</v>
      </c>
      <c r="F301">
        <v>6</v>
      </c>
      <c r="G301">
        <v>7</v>
      </c>
      <c r="H301" t="s">
        <v>525</v>
      </c>
      <c r="I301">
        <f>IF(COUNTIF(OFICIAL!$C$74:$D$88, D301) &gt; 0, 1, 0)</f>
        <v>0</v>
      </c>
    </row>
    <row r="302" spans="1:9" x14ac:dyDescent="0.25">
      <c r="A302" t="s">
        <v>77</v>
      </c>
      <c r="B302" t="s">
        <v>52</v>
      </c>
      <c r="C302">
        <v>2</v>
      </c>
      <c r="D302" t="s">
        <v>61</v>
      </c>
      <c r="E302">
        <v>6</v>
      </c>
      <c r="F302">
        <v>2</v>
      </c>
      <c r="G302">
        <v>4</v>
      </c>
      <c r="H302" t="s">
        <v>525</v>
      </c>
      <c r="I302">
        <f>IF(COUNTIF(OFICIAL!$C$74:$D$88, D302) &gt; 0, 1, 0)</f>
        <v>0</v>
      </c>
    </row>
    <row r="303" spans="1:9" x14ac:dyDescent="0.25">
      <c r="A303" t="s">
        <v>77</v>
      </c>
      <c r="B303" t="s">
        <v>52</v>
      </c>
      <c r="C303">
        <v>3</v>
      </c>
      <c r="D303" t="s">
        <v>54</v>
      </c>
      <c r="E303">
        <v>3</v>
      </c>
      <c r="F303">
        <v>-2</v>
      </c>
      <c r="G303">
        <v>2</v>
      </c>
      <c r="H303" t="s">
        <v>536</v>
      </c>
      <c r="I303">
        <f>IF(COUNTIF(OFICIAL!$C$74:$D$88, D303) &gt; 0, 1, 0)</f>
        <v>0</v>
      </c>
    </row>
    <row r="304" spans="1:9" x14ac:dyDescent="0.25">
      <c r="A304" t="s">
        <v>77</v>
      </c>
      <c r="B304" t="s">
        <v>55</v>
      </c>
      <c r="C304">
        <v>1</v>
      </c>
      <c r="D304" t="s">
        <v>56</v>
      </c>
      <c r="E304">
        <v>9</v>
      </c>
      <c r="F304">
        <v>6</v>
      </c>
      <c r="G304">
        <v>7</v>
      </c>
      <c r="H304" t="s">
        <v>525</v>
      </c>
      <c r="I304">
        <f>IF(COUNTIF(OFICIAL!$C$74:$D$88, D304) &gt; 0, 1, 0)</f>
        <v>0</v>
      </c>
    </row>
    <row r="305" spans="1:10" x14ac:dyDescent="0.25">
      <c r="A305" t="s">
        <v>77</v>
      </c>
      <c r="B305" t="s">
        <v>55</v>
      </c>
      <c r="C305">
        <v>2</v>
      </c>
      <c r="D305" t="s">
        <v>57</v>
      </c>
      <c r="E305">
        <v>4</v>
      </c>
      <c r="F305">
        <v>1</v>
      </c>
      <c r="G305">
        <v>4</v>
      </c>
      <c r="H305" t="s">
        <v>525</v>
      </c>
      <c r="I305">
        <f>IF(COUNTIF(OFICIAL!$C$74:$D$88, D305) &gt; 0, 1, 0)</f>
        <v>0</v>
      </c>
    </row>
    <row r="306" spans="1:10" x14ac:dyDescent="0.25">
      <c r="A306" t="s">
        <v>77</v>
      </c>
      <c r="B306" t="s">
        <v>55</v>
      </c>
      <c r="C306">
        <v>3</v>
      </c>
      <c r="D306" t="s">
        <v>59</v>
      </c>
      <c r="E306">
        <v>4</v>
      </c>
      <c r="F306">
        <v>-2</v>
      </c>
      <c r="G306">
        <v>2</v>
      </c>
      <c r="H306" t="s">
        <v>536</v>
      </c>
      <c r="I306">
        <f>IF(COUNTIF(OFICIAL!$C$74:$D$88, D306) &gt; 0, 1, 0)</f>
        <v>0</v>
      </c>
    </row>
    <row r="308" spans="1:10" ht="15.75" thickBot="1" x14ac:dyDescent="0.3">
      <c r="A308" s="23" t="s">
        <v>535</v>
      </c>
      <c r="B308" s="24"/>
      <c r="C308" s="24"/>
      <c r="D308" s="24"/>
      <c r="E308" s="24"/>
      <c r="F308" s="24"/>
      <c r="G308" s="24"/>
      <c r="H308" s="24"/>
      <c r="I308" s="24"/>
      <c r="J308" s="24"/>
    </row>
    <row r="309" spans="1:10" ht="15.75" thickBot="1" x14ac:dyDescent="0.3">
      <c r="A309" t="s">
        <v>79</v>
      </c>
      <c r="B309" t="s">
        <v>2</v>
      </c>
      <c r="C309">
        <v>1</v>
      </c>
      <c r="D309" t="s">
        <v>3</v>
      </c>
      <c r="E309">
        <v>7</v>
      </c>
      <c r="F309">
        <v>3</v>
      </c>
      <c r="G309">
        <v>6</v>
      </c>
      <c r="H309" t="s">
        <v>525</v>
      </c>
      <c r="I309">
        <f>IF(COUNTIF(OFICIAL!$C$74:$D$88, D309) &gt; 0, 1, 0)</f>
        <v>0</v>
      </c>
      <c r="J309" s="7">
        <f>SUM(I309:I340)</f>
        <v>0</v>
      </c>
    </row>
    <row r="310" spans="1:10" x14ac:dyDescent="0.25">
      <c r="A310" t="s">
        <v>79</v>
      </c>
      <c r="B310" t="s">
        <v>2</v>
      </c>
      <c r="C310">
        <v>2</v>
      </c>
      <c r="D310" t="s">
        <v>6</v>
      </c>
      <c r="E310">
        <v>5</v>
      </c>
      <c r="F310">
        <v>1</v>
      </c>
      <c r="G310">
        <v>4</v>
      </c>
      <c r="H310" t="s">
        <v>525</v>
      </c>
      <c r="I310">
        <f>IF(COUNTIF(OFICIAL!$C$74:$D$88, D310) &gt; 0, 1, 0)</f>
        <v>0</v>
      </c>
    </row>
    <row r="311" spans="1:10" x14ac:dyDescent="0.25">
      <c r="A311" t="s">
        <v>79</v>
      </c>
      <c r="B311" t="s">
        <v>2</v>
      </c>
      <c r="C311">
        <v>3</v>
      </c>
      <c r="D311" t="s">
        <v>5</v>
      </c>
      <c r="E311">
        <v>4</v>
      </c>
      <c r="F311">
        <v>1</v>
      </c>
      <c r="G311">
        <v>5</v>
      </c>
      <c r="H311" t="s">
        <v>536</v>
      </c>
      <c r="I311">
        <f>IF(COUNTIF(OFICIAL!$C$74:$D$88, D311) &gt; 0, 1, 0)</f>
        <v>0</v>
      </c>
    </row>
    <row r="312" spans="1:10" x14ac:dyDescent="0.25">
      <c r="A312" t="s">
        <v>79</v>
      </c>
      <c r="B312" t="s">
        <v>7</v>
      </c>
      <c r="C312">
        <v>1</v>
      </c>
      <c r="D312" t="s">
        <v>14</v>
      </c>
      <c r="E312">
        <v>9</v>
      </c>
      <c r="F312">
        <v>4</v>
      </c>
      <c r="G312">
        <v>7</v>
      </c>
      <c r="H312" t="s">
        <v>525</v>
      </c>
      <c r="I312">
        <f>IF(COUNTIF(OFICIAL!$C$74:$D$88, D312) &gt; 0, 1, 0)</f>
        <v>0</v>
      </c>
    </row>
    <row r="313" spans="1:10" x14ac:dyDescent="0.25">
      <c r="A313" t="s">
        <v>79</v>
      </c>
      <c r="B313" t="s">
        <v>7</v>
      </c>
      <c r="C313">
        <v>2</v>
      </c>
      <c r="D313" t="s">
        <v>9</v>
      </c>
      <c r="E313">
        <v>4</v>
      </c>
      <c r="F313">
        <v>0</v>
      </c>
      <c r="G313">
        <v>5</v>
      </c>
      <c r="H313" t="s">
        <v>525</v>
      </c>
      <c r="I313">
        <f>IF(COUNTIF(OFICIAL!$C$74:$D$88, D313) &gt; 0, 1, 0)</f>
        <v>0</v>
      </c>
    </row>
    <row r="314" spans="1:10" x14ac:dyDescent="0.25">
      <c r="A314" t="s">
        <v>79</v>
      </c>
      <c r="B314" t="s">
        <v>7</v>
      </c>
      <c r="C314">
        <v>3</v>
      </c>
      <c r="D314" t="s">
        <v>8</v>
      </c>
      <c r="E314">
        <v>4</v>
      </c>
      <c r="F314">
        <v>0</v>
      </c>
      <c r="G314">
        <v>3</v>
      </c>
      <c r="H314" t="s">
        <v>536</v>
      </c>
      <c r="I314">
        <f>IF(COUNTIF(OFICIAL!$C$74:$D$88, D314) &gt; 0, 1, 0)</f>
        <v>0</v>
      </c>
    </row>
    <row r="315" spans="1:10" x14ac:dyDescent="0.25">
      <c r="A315" t="s">
        <v>79</v>
      </c>
      <c r="B315" t="s">
        <v>15</v>
      </c>
      <c r="C315">
        <v>1</v>
      </c>
      <c r="D315" t="s">
        <v>16</v>
      </c>
      <c r="E315">
        <v>9</v>
      </c>
      <c r="F315">
        <v>7</v>
      </c>
      <c r="G315">
        <v>9</v>
      </c>
      <c r="H315" t="s">
        <v>525</v>
      </c>
      <c r="I315">
        <f>IF(COUNTIF(OFICIAL!$C$74:$D$88, D315) &gt; 0, 1, 0)</f>
        <v>0</v>
      </c>
    </row>
    <row r="316" spans="1:10" x14ac:dyDescent="0.25">
      <c r="A316" t="s">
        <v>79</v>
      </c>
      <c r="B316" t="s">
        <v>15</v>
      </c>
      <c r="C316">
        <v>2</v>
      </c>
      <c r="D316" t="s">
        <v>19</v>
      </c>
      <c r="E316">
        <v>4</v>
      </c>
      <c r="F316">
        <v>2</v>
      </c>
      <c r="G316">
        <v>6</v>
      </c>
      <c r="H316" t="s">
        <v>525</v>
      </c>
      <c r="I316">
        <f>IF(COUNTIF(OFICIAL!$C$74:$D$88, D316) &gt; 0, 1, 0)</f>
        <v>0</v>
      </c>
    </row>
    <row r="317" spans="1:10" x14ac:dyDescent="0.25">
      <c r="A317" t="s">
        <v>79</v>
      </c>
      <c r="B317" t="s">
        <v>15</v>
      </c>
      <c r="C317">
        <v>3</v>
      </c>
      <c r="D317" t="s">
        <v>17</v>
      </c>
      <c r="E317">
        <v>4</v>
      </c>
      <c r="F317">
        <v>0</v>
      </c>
      <c r="G317">
        <v>4</v>
      </c>
      <c r="H317" t="s">
        <v>536</v>
      </c>
      <c r="I317">
        <f>IF(COUNTIF(OFICIAL!$C$74:$D$88, D317) &gt; 0, 1, 0)</f>
        <v>0</v>
      </c>
    </row>
    <row r="318" spans="1:10" x14ac:dyDescent="0.25">
      <c r="A318" t="s">
        <v>79</v>
      </c>
      <c r="B318" t="s">
        <v>10</v>
      </c>
      <c r="C318">
        <v>1</v>
      </c>
      <c r="D318" t="s">
        <v>11</v>
      </c>
      <c r="E318">
        <v>7</v>
      </c>
      <c r="F318">
        <v>2</v>
      </c>
      <c r="G318">
        <v>6</v>
      </c>
      <c r="H318" t="s">
        <v>525</v>
      </c>
      <c r="I318">
        <f>IF(COUNTIF(OFICIAL!$C$74:$D$88, D318) &gt; 0, 1, 0)</f>
        <v>0</v>
      </c>
    </row>
    <row r="319" spans="1:10" x14ac:dyDescent="0.25">
      <c r="A319" t="s">
        <v>79</v>
      </c>
      <c r="B319" t="s">
        <v>10</v>
      </c>
      <c r="C319">
        <v>2</v>
      </c>
      <c r="D319" t="s">
        <v>21</v>
      </c>
      <c r="E319">
        <v>5</v>
      </c>
      <c r="F319">
        <v>1</v>
      </c>
      <c r="G319">
        <v>4</v>
      </c>
      <c r="H319" t="s">
        <v>525</v>
      </c>
      <c r="I319">
        <f>IF(COUNTIF(OFICIAL!$C$74:$D$88, D319) &gt; 0, 1, 0)</f>
        <v>0</v>
      </c>
    </row>
    <row r="320" spans="1:10" x14ac:dyDescent="0.25">
      <c r="A320" t="s">
        <v>79</v>
      </c>
      <c r="B320" t="s">
        <v>22</v>
      </c>
      <c r="C320">
        <v>1</v>
      </c>
      <c r="D320" t="s">
        <v>29</v>
      </c>
      <c r="E320">
        <v>9</v>
      </c>
      <c r="F320">
        <v>6</v>
      </c>
      <c r="G320">
        <v>6</v>
      </c>
      <c r="H320" t="s">
        <v>525</v>
      </c>
      <c r="I320">
        <f>IF(COUNTIF(OFICIAL!$C$74:$D$88, D320) &gt; 0, 1, 0)</f>
        <v>0</v>
      </c>
    </row>
    <row r="321" spans="1:9" x14ac:dyDescent="0.25">
      <c r="A321" t="s">
        <v>79</v>
      </c>
      <c r="B321" t="s">
        <v>22</v>
      </c>
      <c r="C321">
        <v>2</v>
      </c>
      <c r="D321" t="s">
        <v>23</v>
      </c>
      <c r="E321">
        <v>6</v>
      </c>
      <c r="F321">
        <v>3</v>
      </c>
      <c r="G321">
        <v>6</v>
      </c>
      <c r="H321" t="s">
        <v>525</v>
      </c>
      <c r="I321">
        <f>IF(COUNTIF(OFICIAL!$C$74:$D$88, D321) &gt; 0, 1, 0)</f>
        <v>0</v>
      </c>
    </row>
    <row r="322" spans="1:9" x14ac:dyDescent="0.25">
      <c r="A322" t="s">
        <v>79</v>
      </c>
      <c r="B322" t="s">
        <v>25</v>
      </c>
      <c r="C322">
        <v>1</v>
      </c>
      <c r="D322" t="s">
        <v>26</v>
      </c>
      <c r="E322">
        <v>9</v>
      </c>
      <c r="F322">
        <v>6</v>
      </c>
      <c r="G322">
        <v>9</v>
      </c>
      <c r="H322" t="s">
        <v>525</v>
      </c>
      <c r="I322">
        <f>IF(COUNTIF(OFICIAL!$C$74:$D$88, D322) &gt; 0, 1, 0)</f>
        <v>0</v>
      </c>
    </row>
    <row r="323" spans="1:9" x14ac:dyDescent="0.25">
      <c r="A323" t="s">
        <v>79</v>
      </c>
      <c r="B323" t="s">
        <v>25</v>
      </c>
      <c r="C323">
        <v>2</v>
      </c>
      <c r="D323" t="s">
        <v>30</v>
      </c>
      <c r="E323">
        <v>4</v>
      </c>
      <c r="F323">
        <v>1</v>
      </c>
      <c r="G323">
        <v>5</v>
      </c>
      <c r="H323" t="s">
        <v>525</v>
      </c>
      <c r="I323">
        <f>IF(COUNTIF(OFICIAL!$C$74:$D$88, D323) &gt; 0, 1, 0)</f>
        <v>0</v>
      </c>
    </row>
    <row r="324" spans="1:9" x14ac:dyDescent="0.25">
      <c r="A324" t="s">
        <v>79</v>
      </c>
      <c r="B324" t="s">
        <v>25</v>
      </c>
      <c r="C324">
        <v>3</v>
      </c>
      <c r="D324" t="s">
        <v>27</v>
      </c>
      <c r="E324">
        <v>4</v>
      </c>
      <c r="F324">
        <v>-1</v>
      </c>
      <c r="G324">
        <v>4</v>
      </c>
      <c r="H324" t="s">
        <v>536</v>
      </c>
      <c r="I324">
        <f>IF(COUNTIF(OFICIAL!$C$74:$D$88, D324) &gt; 0, 1, 0)</f>
        <v>0</v>
      </c>
    </row>
    <row r="325" spans="1:9" x14ac:dyDescent="0.25">
      <c r="A325" t="s">
        <v>79</v>
      </c>
      <c r="B325" t="s">
        <v>35</v>
      </c>
      <c r="C325">
        <v>1</v>
      </c>
      <c r="D325" t="s">
        <v>36</v>
      </c>
      <c r="E325">
        <v>9</v>
      </c>
      <c r="F325">
        <v>7</v>
      </c>
      <c r="G325">
        <v>9</v>
      </c>
      <c r="H325" t="s">
        <v>525</v>
      </c>
      <c r="I325">
        <f>IF(COUNTIF(OFICIAL!$C$74:$D$88, D325) &gt; 0, 1, 0)</f>
        <v>0</v>
      </c>
    </row>
    <row r="326" spans="1:9" x14ac:dyDescent="0.25">
      <c r="A326" t="s">
        <v>79</v>
      </c>
      <c r="B326" t="s">
        <v>35</v>
      </c>
      <c r="C326">
        <v>2</v>
      </c>
      <c r="D326" t="s">
        <v>37</v>
      </c>
      <c r="E326">
        <v>4</v>
      </c>
      <c r="F326">
        <v>-2</v>
      </c>
      <c r="G326">
        <v>3</v>
      </c>
      <c r="H326" t="s">
        <v>525</v>
      </c>
      <c r="I326">
        <f>IF(COUNTIF(OFICIAL!$C$74:$D$88, D326) &gt; 0, 1, 0)</f>
        <v>0</v>
      </c>
    </row>
    <row r="327" spans="1:9" x14ac:dyDescent="0.25">
      <c r="A327" t="s">
        <v>79</v>
      </c>
      <c r="B327" t="s">
        <v>32</v>
      </c>
      <c r="C327">
        <v>1</v>
      </c>
      <c r="D327" t="s">
        <v>33</v>
      </c>
      <c r="E327">
        <v>9</v>
      </c>
      <c r="F327">
        <v>6</v>
      </c>
      <c r="G327">
        <v>10</v>
      </c>
      <c r="H327" t="s">
        <v>525</v>
      </c>
      <c r="I327">
        <f>IF(COUNTIF(OFICIAL!$C$74:$D$88, D327) &gt; 0, 1, 0)</f>
        <v>0</v>
      </c>
    </row>
    <row r="328" spans="1:9" x14ac:dyDescent="0.25">
      <c r="A328" t="s">
        <v>79</v>
      </c>
      <c r="B328" t="s">
        <v>32</v>
      </c>
      <c r="C328">
        <v>2</v>
      </c>
      <c r="D328" t="s">
        <v>39</v>
      </c>
      <c r="E328">
        <v>6</v>
      </c>
      <c r="F328">
        <v>2</v>
      </c>
      <c r="G328">
        <v>6</v>
      </c>
      <c r="H328" t="s">
        <v>525</v>
      </c>
      <c r="I328">
        <f>IF(COUNTIF(OFICIAL!$C$74:$D$88, D328) &gt; 0, 1, 0)</f>
        <v>0</v>
      </c>
    </row>
    <row r="329" spans="1:9" x14ac:dyDescent="0.25">
      <c r="A329" t="s">
        <v>79</v>
      </c>
      <c r="B329" t="s">
        <v>32</v>
      </c>
      <c r="C329">
        <v>3</v>
      </c>
      <c r="D329" t="s">
        <v>38</v>
      </c>
      <c r="E329">
        <v>3</v>
      </c>
      <c r="F329">
        <v>0</v>
      </c>
      <c r="G329">
        <v>5</v>
      </c>
      <c r="H329" t="s">
        <v>536</v>
      </c>
      <c r="I329">
        <f>IF(COUNTIF(OFICIAL!$C$74:$D$88, D329) &gt; 0, 1, 0)</f>
        <v>0</v>
      </c>
    </row>
    <row r="330" spans="1:9" x14ac:dyDescent="0.25">
      <c r="A330" t="s">
        <v>79</v>
      </c>
      <c r="B330" t="s">
        <v>42</v>
      </c>
      <c r="C330">
        <v>1</v>
      </c>
      <c r="D330" t="s">
        <v>46</v>
      </c>
      <c r="E330">
        <v>9</v>
      </c>
      <c r="F330">
        <v>6</v>
      </c>
      <c r="G330">
        <v>9</v>
      </c>
      <c r="H330" t="s">
        <v>525</v>
      </c>
      <c r="I330">
        <f>IF(COUNTIF(OFICIAL!$C$74:$D$88, D330) &gt; 0, 1, 0)</f>
        <v>0</v>
      </c>
    </row>
    <row r="331" spans="1:9" x14ac:dyDescent="0.25">
      <c r="A331" t="s">
        <v>79</v>
      </c>
      <c r="B331" t="s">
        <v>42</v>
      </c>
      <c r="C331">
        <v>2</v>
      </c>
      <c r="D331" t="s">
        <v>43</v>
      </c>
      <c r="E331">
        <v>6</v>
      </c>
      <c r="F331">
        <v>4</v>
      </c>
      <c r="G331">
        <v>7</v>
      </c>
      <c r="H331" t="s">
        <v>525</v>
      </c>
      <c r="I331">
        <f>IF(COUNTIF(OFICIAL!$C$74:$D$88, D331) &gt; 0, 1, 0)</f>
        <v>0</v>
      </c>
    </row>
    <row r="332" spans="1:9" x14ac:dyDescent="0.25">
      <c r="A332" t="s">
        <v>79</v>
      </c>
      <c r="B332" t="s">
        <v>42</v>
      </c>
      <c r="C332">
        <v>3</v>
      </c>
      <c r="D332" t="s">
        <v>44</v>
      </c>
      <c r="E332">
        <v>3</v>
      </c>
      <c r="F332">
        <v>-1</v>
      </c>
      <c r="G332">
        <v>6</v>
      </c>
      <c r="H332" t="s">
        <v>536</v>
      </c>
      <c r="I332">
        <f>IF(COUNTIF(OFICIAL!$C$74:$D$88, D332) &gt; 0, 1, 0)</f>
        <v>0</v>
      </c>
    </row>
    <row r="333" spans="1:9" x14ac:dyDescent="0.25">
      <c r="A333" t="s">
        <v>79</v>
      </c>
      <c r="B333" t="s">
        <v>47</v>
      </c>
      <c r="C333">
        <v>1</v>
      </c>
      <c r="D333" t="s">
        <v>48</v>
      </c>
      <c r="E333">
        <v>9</v>
      </c>
      <c r="F333">
        <v>5</v>
      </c>
      <c r="G333">
        <v>7</v>
      </c>
      <c r="H333" t="s">
        <v>525</v>
      </c>
      <c r="I333">
        <f>IF(COUNTIF(OFICIAL!$C$74:$D$88, D333) &gt; 0, 1, 0)</f>
        <v>0</v>
      </c>
    </row>
    <row r="334" spans="1:9" x14ac:dyDescent="0.25">
      <c r="A334" t="s">
        <v>79</v>
      </c>
      <c r="B334" t="s">
        <v>47</v>
      </c>
      <c r="C334">
        <v>2</v>
      </c>
      <c r="D334" t="s">
        <v>50</v>
      </c>
      <c r="E334">
        <v>6</v>
      </c>
      <c r="F334">
        <v>2</v>
      </c>
      <c r="G334">
        <v>3</v>
      </c>
      <c r="H334" t="s">
        <v>525</v>
      </c>
      <c r="I334">
        <f>IF(COUNTIF(OFICIAL!$C$74:$D$88, D334) &gt; 0, 1, 0)</f>
        <v>0</v>
      </c>
    </row>
    <row r="335" spans="1:9" x14ac:dyDescent="0.25">
      <c r="A335" t="s">
        <v>79</v>
      </c>
      <c r="B335" t="s">
        <v>47</v>
      </c>
      <c r="C335">
        <v>3</v>
      </c>
      <c r="D335" t="s">
        <v>49</v>
      </c>
      <c r="E335">
        <v>3</v>
      </c>
      <c r="F335">
        <v>-2</v>
      </c>
      <c r="G335">
        <v>3</v>
      </c>
      <c r="H335" t="s">
        <v>536</v>
      </c>
      <c r="I335">
        <f>IF(COUNTIF(OFICIAL!$C$74:$D$88, D335) &gt; 0, 1, 0)</f>
        <v>0</v>
      </c>
    </row>
    <row r="336" spans="1:9" x14ac:dyDescent="0.25">
      <c r="A336" t="s">
        <v>79</v>
      </c>
      <c r="B336" t="s">
        <v>52</v>
      </c>
      <c r="C336">
        <v>1</v>
      </c>
      <c r="D336" t="s">
        <v>53</v>
      </c>
      <c r="E336">
        <v>9</v>
      </c>
      <c r="F336">
        <v>7</v>
      </c>
      <c r="G336">
        <v>8</v>
      </c>
      <c r="H336" t="s">
        <v>525</v>
      </c>
      <c r="I336">
        <f>IF(COUNTIF(OFICIAL!$C$74:$D$88, D336) &gt; 0, 1, 0)</f>
        <v>0</v>
      </c>
    </row>
    <row r="337" spans="1:9" x14ac:dyDescent="0.25">
      <c r="A337" t="s">
        <v>79</v>
      </c>
      <c r="B337" t="s">
        <v>52</v>
      </c>
      <c r="C337">
        <v>2</v>
      </c>
      <c r="D337" t="s">
        <v>61</v>
      </c>
      <c r="E337">
        <v>6</v>
      </c>
      <c r="F337">
        <v>3</v>
      </c>
      <c r="G337">
        <v>6</v>
      </c>
      <c r="H337" t="s">
        <v>525</v>
      </c>
      <c r="I337">
        <f>IF(COUNTIF(OFICIAL!$C$74:$D$88, D337) &gt; 0, 1, 0)</f>
        <v>0</v>
      </c>
    </row>
    <row r="338" spans="1:9" x14ac:dyDescent="0.25">
      <c r="A338" t="s">
        <v>79</v>
      </c>
      <c r="B338" t="s">
        <v>55</v>
      </c>
      <c r="C338">
        <v>1</v>
      </c>
      <c r="D338" t="s">
        <v>56</v>
      </c>
      <c r="E338">
        <v>9</v>
      </c>
      <c r="F338">
        <v>7</v>
      </c>
      <c r="G338">
        <v>9</v>
      </c>
      <c r="H338" t="s">
        <v>525</v>
      </c>
      <c r="I338">
        <f>IF(COUNTIF(OFICIAL!$C$74:$D$88, D338) &gt; 0, 1, 0)</f>
        <v>0</v>
      </c>
    </row>
    <row r="339" spans="1:9" x14ac:dyDescent="0.25">
      <c r="A339" t="s">
        <v>79</v>
      </c>
      <c r="B339" t="s">
        <v>55</v>
      </c>
      <c r="C339">
        <v>2</v>
      </c>
      <c r="D339" t="s">
        <v>57</v>
      </c>
      <c r="E339">
        <v>4</v>
      </c>
      <c r="F339">
        <v>0</v>
      </c>
      <c r="G339">
        <v>4</v>
      </c>
      <c r="H339" t="s">
        <v>525</v>
      </c>
      <c r="I339">
        <f>IF(COUNTIF(OFICIAL!$C$74:$D$88, D339) &gt; 0, 1, 0)</f>
        <v>0</v>
      </c>
    </row>
    <row r="340" spans="1:9" x14ac:dyDescent="0.25">
      <c r="A340" t="s">
        <v>79</v>
      </c>
      <c r="B340" t="s">
        <v>55</v>
      </c>
      <c r="C340">
        <v>3</v>
      </c>
      <c r="D340" t="s">
        <v>59</v>
      </c>
      <c r="E340">
        <v>4</v>
      </c>
      <c r="F340">
        <v>-3</v>
      </c>
      <c r="G340">
        <v>3</v>
      </c>
      <c r="H340" t="s">
        <v>536</v>
      </c>
      <c r="I340">
        <f>IF(COUNTIF(OFICIAL!$C$74:$D$88, D340) &gt; 0, 1, 0)</f>
        <v>0</v>
      </c>
    </row>
  </sheetData>
  <mergeCells count="10">
    <mergeCell ref="A172:J172"/>
    <mergeCell ref="A206:J206"/>
    <mergeCell ref="A308:J308"/>
    <mergeCell ref="A274:J274"/>
    <mergeCell ref="A240:J240"/>
    <mergeCell ref="A2:J2"/>
    <mergeCell ref="A36:J36"/>
    <mergeCell ref="A70:J70"/>
    <mergeCell ref="A104:J104"/>
    <mergeCell ref="A138:J13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CB5A0-5E9C-47B6-8262-2D82CAC37FB5}">
  <dimension ref="A1:L740"/>
  <sheetViews>
    <sheetView workbookViewId="0">
      <selection activeCell="L300" sqref="L300"/>
    </sheetView>
  </sheetViews>
  <sheetFormatPr baseColWidth="10" defaultRowHeight="15" x14ac:dyDescent="0.25"/>
  <cols>
    <col min="1" max="1" width="15" customWidth="1"/>
    <col min="2" max="2" width="37.28515625" customWidth="1"/>
    <col min="3" max="3" width="37.42578125" customWidth="1"/>
    <col min="5" max="6" width="22" customWidth="1"/>
    <col min="7" max="7" width="21.85546875" customWidth="1"/>
    <col min="8" max="8" width="15.85546875" customWidth="1"/>
    <col min="9" max="9" width="15.5703125" customWidth="1"/>
    <col min="10" max="10" width="28.85546875" customWidth="1"/>
  </cols>
  <sheetData>
    <row r="1" spans="1:12" x14ac:dyDescent="0.25">
      <c r="A1" s="1" t="s">
        <v>80</v>
      </c>
      <c r="B1" s="1" t="s">
        <v>81</v>
      </c>
      <c r="C1" s="1" t="s">
        <v>119</v>
      </c>
      <c r="D1" s="1" t="s">
        <v>518</v>
      </c>
      <c r="E1" s="1" t="s">
        <v>548</v>
      </c>
      <c r="F1" s="1" t="s">
        <v>549</v>
      </c>
      <c r="G1" s="1" t="s">
        <v>550</v>
      </c>
      <c r="H1" s="1" t="s">
        <v>759</v>
      </c>
      <c r="I1" s="1" t="s">
        <v>760</v>
      </c>
      <c r="J1" s="1" t="s">
        <v>121</v>
      </c>
      <c r="K1" s="9" t="s">
        <v>884</v>
      </c>
      <c r="L1" s="9" t="s">
        <v>786</v>
      </c>
    </row>
    <row r="2" spans="1:12" ht="18" customHeight="1" thickBot="1" x14ac:dyDescent="0.3">
      <c r="A2" s="23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 ht="15.75" thickBot="1" x14ac:dyDescent="0.3">
      <c r="A3" t="s">
        <v>1</v>
      </c>
      <c r="B3" t="s">
        <v>87</v>
      </c>
      <c r="C3" t="s">
        <v>554</v>
      </c>
      <c r="D3" t="s">
        <v>2</v>
      </c>
      <c r="E3" t="s">
        <v>3</v>
      </c>
      <c r="F3" t="s">
        <v>4</v>
      </c>
      <c r="G3" t="s">
        <v>555</v>
      </c>
      <c r="H3">
        <v>2</v>
      </c>
      <c r="I3">
        <v>0</v>
      </c>
      <c r="J3" t="s">
        <v>761</v>
      </c>
      <c r="K3">
        <f>IF(AND(H3=OFICIAL!F2, I3=OFICIAL!G2), 5, 0)</f>
        <v>5</v>
      </c>
      <c r="L3" s="6">
        <f>SUM(K3:K74)</f>
        <v>20</v>
      </c>
    </row>
    <row r="4" spans="1:12" x14ac:dyDescent="0.25">
      <c r="A4" t="s">
        <v>1</v>
      </c>
      <c r="B4" t="s">
        <v>87</v>
      </c>
      <c r="C4" t="s">
        <v>557</v>
      </c>
      <c r="D4" t="s">
        <v>2</v>
      </c>
      <c r="E4" t="s">
        <v>5</v>
      </c>
      <c r="F4" t="s">
        <v>6</v>
      </c>
      <c r="G4" t="s">
        <v>558</v>
      </c>
      <c r="H4">
        <v>1</v>
      </c>
      <c r="I4">
        <v>1</v>
      </c>
      <c r="J4" t="s">
        <v>761</v>
      </c>
      <c r="K4">
        <f>IF(AND(H4=OFICIAL!F3, I4=OFICIAL!G3), 5, 0)</f>
        <v>0</v>
      </c>
    </row>
    <row r="5" spans="1:12" x14ac:dyDescent="0.25">
      <c r="A5" t="s">
        <v>1</v>
      </c>
      <c r="B5" t="s">
        <v>87</v>
      </c>
      <c r="C5" t="s">
        <v>559</v>
      </c>
      <c r="D5" t="s">
        <v>7</v>
      </c>
      <c r="E5" t="s">
        <v>8</v>
      </c>
      <c r="F5" t="s">
        <v>9</v>
      </c>
      <c r="G5" t="s">
        <v>560</v>
      </c>
      <c r="H5">
        <v>2</v>
      </c>
      <c r="I5">
        <v>1</v>
      </c>
      <c r="J5" t="s">
        <v>762</v>
      </c>
      <c r="K5">
        <f>IF(AND(H5=OFICIAL!F4, I5=OFICIAL!G4), 5, 0)</f>
        <v>0</v>
      </c>
    </row>
    <row r="6" spans="1:12" x14ac:dyDescent="0.25">
      <c r="A6" t="s">
        <v>1</v>
      </c>
      <c r="B6" t="s">
        <v>87</v>
      </c>
      <c r="C6" t="s">
        <v>561</v>
      </c>
      <c r="D6" t="s">
        <v>10</v>
      </c>
      <c r="E6" t="s">
        <v>11</v>
      </c>
      <c r="F6" t="s">
        <v>12</v>
      </c>
      <c r="G6" t="s">
        <v>562</v>
      </c>
      <c r="H6">
        <v>2</v>
      </c>
      <c r="I6">
        <v>0</v>
      </c>
      <c r="J6" t="s">
        <v>763</v>
      </c>
      <c r="K6">
        <f>IF(AND(H6=OFICIAL!F5, I6=OFICIAL!G5), 5, 0)</f>
        <v>0</v>
      </c>
    </row>
    <row r="7" spans="1:12" x14ac:dyDescent="0.25">
      <c r="A7" t="s">
        <v>1</v>
      </c>
      <c r="B7" t="s">
        <v>87</v>
      </c>
      <c r="C7" t="s">
        <v>563</v>
      </c>
      <c r="D7" t="s">
        <v>7</v>
      </c>
      <c r="E7" t="s">
        <v>13</v>
      </c>
      <c r="F7" t="s">
        <v>14</v>
      </c>
      <c r="G7" t="s">
        <v>564</v>
      </c>
      <c r="H7">
        <v>0</v>
      </c>
      <c r="I7">
        <v>3</v>
      </c>
      <c r="J7" t="s">
        <v>762</v>
      </c>
      <c r="K7">
        <f>IF(AND(H7=OFICIAL!F6, I7=OFICIAL!G6), 5, 0)</f>
        <v>0</v>
      </c>
    </row>
    <row r="8" spans="1:12" x14ac:dyDescent="0.25">
      <c r="A8" t="s">
        <v>1</v>
      </c>
      <c r="B8" t="s">
        <v>87</v>
      </c>
      <c r="C8" t="s">
        <v>565</v>
      </c>
      <c r="D8" t="s">
        <v>15</v>
      </c>
      <c r="E8" t="s">
        <v>16</v>
      </c>
      <c r="F8" t="s">
        <v>17</v>
      </c>
      <c r="G8" t="s">
        <v>566</v>
      </c>
      <c r="H8">
        <v>2</v>
      </c>
      <c r="I8">
        <v>1</v>
      </c>
      <c r="J8" t="s">
        <v>764</v>
      </c>
      <c r="K8">
        <f>IF(AND(H8=OFICIAL!F7, I8=OFICIAL!G7), 5, 0)</f>
        <v>0</v>
      </c>
    </row>
    <row r="9" spans="1:12" x14ac:dyDescent="0.25">
      <c r="A9" t="s">
        <v>1</v>
      </c>
      <c r="B9" t="s">
        <v>87</v>
      </c>
      <c r="C9" t="s">
        <v>567</v>
      </c>
      <c r="D9" t="s">
        <v>15</v>
      </c>
      <c r="E9" t="s">
        <v>18</v>
      </c>
      <c r="F9" t="s">
        <v>19</v>
      </c>
      <c r="G9" t="s">
        <v>568</v>
      </c>
      <c r="H9">
        <v>0</v>
      </c>
      <c r="I9">
        <v>2</v>
      </c>
      <c r="J9" t="s">
        <v>764</v>
      </c>
      <c r="K9">
        <f>IF(AND(H9=OFICIAL!F8, I9=OFICIAL!G8), 5, 0)</f>
        <v>0</v>
      </c>
    </row>
    <row r="10" spans="1:12" x14ac:dyDescent="0.25">
      <c r="A10" t="s">
        <v>1</v>
      </c>
      <c r="B10" t="s">
        <v>87</v>
      </c>
      <c r="C10" t="s">
        <v>569</v>
      </c>
      <c r="D10" t="s">
        <v>10</v>
      </c>
      <c r="E10" t="s">
        <v>20</v>
      </c>
      <c r="F10" t="s">
        <v>21</v>
      </c>
      <c r="G10" t="s">
        <v>570</v>
      </c>
      <c r="H10">
        <v>0</v>
      </c>
      <c r="I10">
        <v>2</v>
      </c>
      <c r="J10" t="s">
        <v>763</v>
      </c>
      <c r="K10">
        <f>IF(AND(H10=OFICIAL!F9, I10=OFICIAL!G9), 5, 0)</f>
        <v>0</v>
      </c>
    </row>
    <row r="11" spans="1:12" x14ac:dyDescent="0.25">
      <c r="A11" t="s">
        <v>1</v>
      </c>
      <c r="B11" t="s">
        <v>87</v>
      </c>
      <c r="C11" t="s">
        <v>571</v>
      </c>
      <c r="D11" t="s">
        <v>22</v>
      </c>
      <c r="E11" t="s">
        <v>23</v>
      </c>
      <c r="F11" t="s">
        <v>24</v>
      </c>
      <c r="G11" t="s">
        <v>572</v>
      </c>
      <c r="H11">
        <v>4</v>
      </c>
      <c r="I11">
        <v>0</v>
      </c>
      <c r="J11" t="s">
        <v>765</v>
      </c>
      <c r="K11">
        <f>IF(AND(H11=OFICIAL!F10, I11=OFICIAL!G10), 5, 0)</f>
        <v>0</v>
      </c>
    </row>
    <row r="12" spans="1:12" x14ac:dyDescent="0.25">
      <c r="A12" t="s">
        <v>1</v>
      </c>
      <c r="B12" t="s">
        <v>87</v>
      </c>
      <c r="C12" t="s">
        <v>573</v>
      </c>
      <c r="D12" t="s">
        <v>25</v>
      </c>
      <c r="E12" t="s">
        <v>26</v>
      </c>
      <c r="F12" t="s">
        <v>27</v>
      </c>
      <c r="G12" t="s">
        <v>574</v>
      </c>
      <c r="H12">
        <v>2</v>
      </c>
      <c r="I12">
        <v>2</v>
      </c>
      <c r="J12" t="s">
        <v>766</v>
      </c>
      <c r="K12">
        <f>IF(AND(H12=OFICIAL!F11, I12=OFICIAL!G11), 5, 0)</f>
        <v>5</v>
      </c>
    </row>
    <row r="13" spans="1:12" x14ac:dyDescent="0.25">
      <c r="A13" t="s">
        <v>1</v>
      </c>
      <c r="B13" t="s">
        <v>87</v>
      </c>
      <c r="C13" t="s">
        <v>575</v>
      </c>
      <c r="D13" t="s">
        <v>22</v>
      </c>
      <c r="E13" t="s">
        <v>28</v>
      </c>
      <c r="F13" t="s">
        <v>29</v>
      </c>
      <c r="G13" t="s">
        <v>576</v>
      </c>
      <c r="H13">
        <v>1</v>
      </c>
      <c r="I13">
        <v>1</v>
      </c>
      <c r="J13" t="s">
        <v>765</v>
      </c>
      <c r="K13">
        <f>IF(AND(H13=OFICIAL!F12, I13=OFICIAL!G12), 5, 0)</f>
        <v>0</v>
      </c>
    </row>
    <row r="14" spans="1:12" x14ac:dyDescent="0.25">
      <c r="A14" t="s">
        <v>1</v>
      </c>
      <c r="B14" t="s">
        <v>87</v>
      </c>
      <c r="C14" t="s">
        <v>577</v>
      </c>
      <c r="D14" t="s">
        <v>25</v>
      </c>
      <c r="E14" t="s">
        <v>30</v>
      </c>
      <c r="F14" t="s">
        <v>31</v>
      </c>
      <c r="G14" t="s">
        <v>578</v>
      </c>
      <c r="H14">
        <v>2</v>
      </c>
      <c r="I14">
        <v>0</v>
      </c>
      <c r="J14" t="s">
        <v>766</v>
      </c>
      <c r="K14">
        <f>IF(AND(H14=OFICIAL!F13, I14=OFICIAL!G13), 5, 0)</f>
        <v>0</v>
      </c>
    </row>
    <row r="15" spans="1:12" x14ac:dyDescent="0.25">
      <c r="A15" t="s">
        <v>1</v>
      </c>
      <c r="B15" t="s">
        <v>87</v>
      </c>
      <c r="C15" t="s">
        <v>579</v>
      </c>
      <c r="D15" t="s">
        <v>32</v>
      </c>
      <c r="E15" t="s">
        <v>33</v>
      </c>
      <c r="F15" t="s">
        <v>34</v>
      </c>
      <c r="G15" t="s">
        <v>580</v>
      </c>
      <c r="H15">
        <v>3</v>
      </c>
      <c r="I15">
        <v>0</v>
      </c>
      <c r="J15" t="s">
        <v>767</v>
      </c>
      <c r="K15">
        <f>IF(AND(H15=OFICIAL!F14, I15=OFICIAL!G14), 5, 0)</f>
        <v>0</v>
      </c>
    </row>
    <row r="16" spans="1:12" x14ac:dyDescent="0.25">
      <c r="A16" t="s">
        <v>1</v>
      </c>
      <c r="B16" t="s">
        <v>87</v>
      </c>
      <c r="C16" t="s">
        <v>581</v>
      </c>
      <c r="D16" t="s">
        <v>35</v>
      </c>
      <c r="E16" t="s">
        <v>36</v>
      </c>
      <c r="F16" t="s">
        <v>37</v>
      </c>
      <c r="G16" t="s">
        <v>582</v>
      </c>
      <c r="H16">
        <v>1</v>
      </c>
      <c r="I16">
        <v>1</v>
      </c>
      <c r="J16" t="s">
        <v>768</v>
      </c>
      <c r="K16">
        <f>IF(AND(H16=OFICIAL!F15, I16=OFICIAL!G15), 5, 0)</f>
        <v>5</v>
      </c>
    </row>
    <row r="17" spans="1:11" x14ac:dyDescent="0.25">
      <c r="A17" t="s">
        <v>1</v>
      </c>
      <c r="B17" t="s">
        <v>87</v>
      </c>
      <c r="C17" t="s">
        <v>583</v>
      </c>
      <c r="D17" t="s">
        <v>32</v>
      </c>
      <c r="E17" t="s">
        <v>38</v>
      </c>
      <c r="F17" t="s">
        <v>39</v>
      </c>
      <c r="G17" t="s">
        <v>584</v>
      </c>
      <c r="H17">
        <v>1</v>
      </c>
      <c r="I17">
        <v>2</v>
      </c>
      <c r="J17" t="s">
        <v>767</v>
      </c>
      <c r="K17">
        <f>IF(AND(H17=OFICIAL!F16, I17=OFICIAL!G16), 5, 0)</f>
        <v>0</v>
      </c>
    </row>
    <row r="18" spans="1:11" x14ac:dyDescent="0.25">
      <c r="A18" t="s">
        <v>1</v>
      </c>
      <c r="B18" t="s">
        <v>87</v>
      </c>
      <c r="C18" t="s">
        <v>585</v>
      </c>
      <c r="D18" t="s">
        <v>35</v>
      </c>
      <c r="E18" t="s">
        <v>40</v>
      </c>
      <c r="F18" t="s">
        <v>41</v>
      </c>
      <c r="G18" t="s">
        <v>586</v>
      </c>
      <c r="H18">
        <v>2</v>
      </c>
      <c r="I18">
        <v>1</v>
      </c>
      <c r="J18" t="s">
        <v>768</v>
      </c>
      <c r="K18">
        <f>IF(AND(H18=OFICIAL!F17, I18=OFICIAL!G17), 5, 0)</f>
        <v>0</v>
      </c>
    </row>
    <row r="19" spans="1:11" x14ac:dyDescent="0.25">
      <c r="A19" t="s">
        <v>1</v>
      </c>
      <c r="B19" t="s">
        <v>87</v>
      </c>
      <c r="C19" t="s">
        <v>587</v>
      </c>
      <c r="D19" t="s">
        <v>42</v>
      </c>
      <c r="E19" t="s">
        <v>43</v>
      </c>
      <c r="F19" t="s">
        <v>44</v>
      </c>
      <c r="G19" t="s">
        <v>588</v>
      </c>
      <c r="H19">
        <v>1</v>
      </c>
      <c r="I19">
        <v>1</v>
      </c>
      <c r="J19" t="s">
        <v>769</v>
      </c>
      <c r="K19">
        <f>IF(AND(H19=OFICIAL!F18, I19=OFICIAL!G18), 5, 0)</f>
        <v>0</v>
      </c>
    </row>
    <row r="20" spans="1:11" x14ac:dyDescent="0.25">
      <c r="A20" t="s">
        <v>1</v>
      </c>
      <c r="B20" t="s">
        <v>87</v>
      </c>
      <c r="C20" t="s">
        <v>589</v>
      </c>
      <c r="D20" t="s">
        <v>42</v>
      </c>
      <c r="E20" t="s">
        <v>45</v>
      </c>
      <c r="F20" t="s">
        <v>46</v>
      </c>
      <c r="G20" t="s">
        <v>590</v>
      </c>
      <c r="H20">
        <v>0</v>
      </c>
      <c r="I20">
        <v>3</v>
      </c>
      <c r="J20" t="s">
        <v>769</v>
      </c>
      <c r="K20">
        <f>IF(AND(H20=OFICIAL!F19, I20=OFICIAL!G19), 5, 0)</f>
        <v>0</v>
      </c>
    </row>
    <row r="21" spans="1:11" x14ac:dyDescent="0.25">
      <c r="A21" t="s">
        <v>1</v>
      </c>
      <c r="B21" t="s">
        <v>87</v>
      </c>
      <c r="C21" t="s">
        <v>591</v>
      </c>
      <c r="D21" t="s">
        <v>47</v>
      </c>
      <c r="E21" t="s">
        <v>48</v>
      </c>
      <c r="F21" t="s">
        <v>49</v>
      </c>
      <c r="G21" t="s">
        <v>592</v>
      </c>
      <c r="H21">
        <v>3</v>
      </c>
      <c r="I21">
        <v>1</v>
      </c>
      <c r="J21" t="s">
        <v>770</v>
      </c>
      <c r="K21">
        <f>IF(AND(H21=OFICIAL!F20, I21=OFICIAL!G20), 5, 0)</f>
        <v>0</v>
      </c>
    </row>
    <row r="22" spans="1:11" x14ac:dyDescent="0.25">
      <c r="A22" t="s">
        <v>1</v>
      </c>
      <c r="B22" t="s">
        <v>87</v>
      </c>
      <c r="C22" t="s">
        <v>593</v>
      </c>
      <c r="D22" t="s">
        <v>47</v>
      </c>
      <c r="E22" t="s">
        <v>50</v>
      </c>
      <c r="F22" t="s">
        <v>51</v>
      </c>
      <c r="G22" t="s">
        <v>594</v>
      </c>
      <c r="H22">
        <v>3</v>
      </c>
      <c r="I22">
        <v>0</v>
      </c>
      <c r="J22" t="s">
        <v>770</v>
      </c>
      <c r="K22">
        <f>IF(AND(H22=OFICIAL!F21, I22=OFICIAL!G21), 5, 0)</f>
        <v>0</v>
      </c>
    </row>
    <row r="23" spans="1:11" x14ac:dyDescent="0.25">
      <c r="A23" t="s">
        <v>1</v>
      </c>
      <c r="B23" t="s">
        <v>87</v>
      </c>
      <c r="C23" t="s">
        <v>595</v>
      </c>
      <c r="D23" t="s">
        <v>52</v>
      </c>
      <c r="E23" t="s">
        <v>53</v>
      </c>
      <c r="F23" t="s">
        <v>54</v>
      </c>
      <c r="G23" t="s">
        <v>596</v>
      </c>
      <c r="H23">
        <v>3</v>
      </c>
      <c r="I23">
        <v>0</v>
      </c>
      <c r="J23" t="s">
        <v>771</v>
      </c>
      <c r="K23">
        <f>IF(AND(H23=OFICIAL!F22, I23=OFICIAL!G22), 5, 0)</f>
        <v>0</v>
      </c>
    </row>
    <row r="24" spans="1:11" x14ac:dyDescent="0.25">
      <c r="A24" t="s">
        <v>1</v>
      </c>
      <c r="B24" t="s">
        <v>87</v>
      </c>
      <c r="C24" t="s">
        <v>597</v>
      </c>
      <c r="D24" t="s">
        <v>55</v>
      </c>
      <c r="E24" t="s">
        <v>56</v>
      </c>
      <c r="F24" t="s">
        <v>57</v>
      </c>
      <c r="G24" t="s">
        <v>598</v>
      </c>
      <c r="H24">
        <v>2</v>
      </c>
      <c r="I24">
        <v>1</v>
      </c>
      <c r="J24" t="s">
        <v>772</v>
      </c>
      <c r="K24">
        <f>IF(AND(H24=OFICIAL!F23, I24=OFICIAL!G23), 5, 0)</f>
        <v>0</v>
      </c>
    </row>
    <row r="25" spans="1:11" x14ac:dyDescent="0.25">
      <c r="A25" t="s">
        <v>1</v>
      </c>
      <c r="B25" t="s">
        <v>87</v>
      </c>
      <c r="C25" t="s">
        <v>599</v>
      </c>
      <c r="D25" t="s">
        <v>55</v>
      </c>
      <c r="E25" t="s">
        <v>58</v>
      </c>
      <c r="F25" t="s">
        <v>59</v>
      </c>
      <c r="G25" t="s">
        <v>600</v>
      </c>
      <c r="H25">
        <v>2</v>
      </c>
      <c r="I25">
        <v>0</v>
      </c>
      <c r="J25" t="s">
        <v>772</v>
      </c>
      <c r="K25">
        <f>IF(AND(H25=OFICIAL!F24, I25=OFICIAL!G24), 5, 0)</f>
        <v>0</v>
      </c>
    </row>
    <row r="26" spans="1:11" x14ac:dyDescent="0.25">
      <c r="A26" t="s">
        <v>1</v>
      </c>
      <c r="B26" t="s">
        <v>87</v>
      </c>
      <c r="C26" t="s">
        <v>601</v>
      </c>
      <c r="D26" t="s">
        <v>52</v>
      </c>
      <c r="E26" t="s">
        <v>60</v>
      </c>
      <c r="F26" t="s">
        <v>61</v>
      </c>
      <c r="G26" t="s">
        <v>602</v>
      </c>
      <c r="H26">
        <v>1</v>
      </c>
      <c r="I26">
        <v>3</v>
      </c>
      <c r="J26" t="s">
        <v>771</v>
      </c>
      <c r="K26">
        <f>IF(AND(H26=OFICIAL!F25, I26=OFICIAL!G25), 5, 0)</f>
        <v>5</v>
      </c>
    </row>
    <row r="27" spans="1:11" x14ac:dyDescent="0.25">
      <c r="A27" t="s">
        <v>1</v>
      </c>
      <c r="B27" t="s">
        <v>87</v>
      </c>
      <c r="C27" t="s">
        <v>603</v>
      </c>
      <c r="D27" t="s">
        <v>2</v>
      </c>
      <c r="E27" t="s">
        <v>4</v>
      </c>
      <c r="F27" t="s">
        <v>6</v>
      </c>
      <c r="G27" t="s">
        <v>604</v>
      </c>
      <c r="H27">
        <v>0</v>
      </c>
      <c r="I27">
        <v>2</v>
      </c>
      <c r="J27" t="s">
        <v>761</v>
      </c>
      <c r="K27">
        <f>IF(AND(H27=OFICIAL!F26, I27=OFICIAL!G26), 5, 0)</f>
        <v>0</v>
      </c>
    </row>
    <row r="28" spans="1:11" x14ac:dyDescent="0.25">
      <c r="A28" t="s">
        <v>1</v>
      </c>
      <c r="B28" t="s">
        <v>87</v>
      </c>
      <c r="C28" t="s">
        <v>605</v>
      </c>
      <c r="D28" t="s">
        <v>7</v>
      </c>
      <c r="E28" t="s">
        <v>9</v>
      </c>
      <c r="F28" t="s">
        <v>14</v>
      </c>
      <c r="G28" t="s">
        <v>606</v>
      </c>
      <c r="H28">
        <v>0</v>
      </c>
      <c r="I28">
        <v>2</v>
      </c>
      <c r="J28" t="s">
        <v>762</v>
      </c>
      <c r="K28">
        <f>IF(AND(H28=OFICIAL!F27, I28=OFICIAL!G27), 5, 0)</f>
        <v>0</v>
      </c>
    </row>
    <row r="29" spans="1:11" x14ac:dyDescent="0.25">
      <c r="A29" t="s">
        <v>1</v>
      </c>
      <c r="B29" t="s">
        <v>87</v>
      </c>
      <c r="C29" t="s">
        <v>607</v>
      </c>
      <c r="D29" t="s">
        <v>7</v>
      </c>
      <c r="E29" t="s">
        <v>8</v>
      </c>
      <c r="F29" t="s">
        <v>13</v>
      </c>
      <c r="G29" t="s">
        <v>608</v>
      </c>
      <c r="H29">
        <v>1</v>
      </c>
      <c r="I29">
        <v>1</v>
      </c>
      <c r="J29" t="s">
        <v>762</v>
      </c>
      <c r="K29">
        <f>IF(AND(H29=OFICIAL!F28, I29=OFICIAL!G28), 5, 0)</f>
        <v>0</v>
      </c>
    </row>
    <row r="30" spans="1:11" x14ac:dyDescent="0.25">
      <c r="A30" t="s">
        <v>1</v>
      </c>
      <c r="B30" t="s">
        <v>87</v>
      </c>
      <c r="C30" t="s">
        <v>609</v>
      </c>
      <c r="D30" t="s">
        <v>2</v>
      </c>
      <c r="E30" t="s">
        <v>3</v>
      </c>
      <c r="F30" t="s">
        <v>5</v>
      </c>
      <c r="G30" t="s">
        <v>610</v>
      </c>
      <c r="H30">
        <v>1</v>
      </c>
      <c r="I30">
        <v>1</v>
      </c>
      <c r="J30" t="s">
        <v>761</v>
      </c>
      <c r="K30">
        <f>IF(AND(H30=OFICIAL!F29, I30=OFICIAL!G29), 5, 0)</f>
        <v>0</v>
      </c>
    </row>
    <row r="31" spans="1:11" x14ac:dyDescent="0.25">
      <c r="A31" t="s">
        <v>1</v>
      </c>
      <c r="B31" t="s">
        <v>87</v>
      </c>
      <c r="C31" t="s">
        <v>611</v>
      </c>
      <c r="D31" t="s">
        <v>10</v>
      </c>
      <c r="E31" t="s">
        <v>11</v>
      </c>
      <c r="F31" t="s">
        <v>20</v>
      </c>
      <c r="G31" t="s">
        <v>612</v>
      </c>
      <c r="H31">
        <v>2</v>
      </c>
      <c r="I31">
        <v>1</v>
      </c>
      <c r="J31" t="s">
        <v>763</v>
      </c>
      <c r="K31">
        <f>IF(AND(H31=OFICIAL!F30, I31=OFICIAL!G30), 5, 0)</f>
        <v>0</v>
      </c>
    </row>
    <row r="32" spans="1:11" x14ac:dyDescent="0.25">
      <c r="A32" t="s">
        <v>1</v>
      </c>
      <c r="B32" t="s">
        <v>87</v>
      </c>
      <c r="C32" t="s">
        <v>613</v>
      </c>
      <c r="D32" t="s">
        <v>15</v>
      </c>
      <c r="E32" t="s">
        <v>17</v>
      </c>
      <c r="F32" t="s">
        <v>19</v>
      </c>
      <c r="G32" t="s">
        <v>614</v>
      </c>
      <c r="H32">
        <v>2</v>
      </c>
      <c r="I32">
        <v>1</v>
      </c>
      <c r="J32" t="s">
        <v>764</v>
      </c>
      <c r="K32">
        <f>IF(AND(H32=OFICIAL!F31, I32=OFICIAL!G31), 5, 0)</f>
        <v>0</v>
      </c>
    </row>
    <row r="33" spans="1:11" x14ac:dyDescent="0.25">
      <c r="A33" t="s">
        <v>1</v>
      </c>
      <c r="B33" t="s">
        <v>87</v>
      </c>
      <c r="C33" t="s">
        <v>615</v>
      </c>
      <c r="D33" t="s">
        <v>15</v>
      </c>
      <c r="E33" t="s">
        <v>16</v>
      </c>
      <c r="F33" t="s">
        <v>18</v>
      </c>
      <c r="G33" t="s">
        <v>616</v>
      </c>
      <c r="H33">
        <v>4</v>
      </c>
      <c r="I33">
        <v>0</v>
      </c>
      <c r="J33" t="s">
        <v>764</v>
      </c>
      <c r="K33">
        <f>IF(AND(H33=OFICIAL!F32, I33=OFICIAL!G32), 5, 0)</f>
        <v>0</v>
      </c>
    </row>
    <row r="34" spans="1:11" x14ac:dyDescent="0.25">
      <c r="A34" t="s">
        <v>1</v>
      </c>
      <c r="B34" t="s">
        <v>87</v>
      </c>
      <c r="C34" t="s">
        <v>617</v>
      </c>
      <c r="D34" t="s">
        <v>10</v>
      </c>
      <c r="E34" t="s">
        <v>12</v>
      </c>
      <c r="F34" t="s">
        <v>21</v>
      </c>
      <c r="G34" t="s">
        <v>618</v>
      </c>
      <c r="H34">
        <v>0</v>
      </c>
      <c r="I34">
        <v>1</v>
      </c>
      <c r="J34" t="s">
        <v>763</v>
      </c>
      <c r="K34">
        <f>IF(AND(H34=OFICIAL!F33, I34=OFICIAL!G33), 5, 0)</f>
        <v>0</v>
      </c>
    </row>
    <row r="35" spans="1:11" x14ac:dyDescent="0.25">
      <c r="A35" t="s">
        <v>1</v>
      </c>
      <c r="B35" t="s">
        <v>87</v>
      </c>
      <c r="C35" t="s">
        <v>619</v>
      </c>
      <c r="D35" t="s">
        <v>25</v>
      </c>
      <c r="E35" t="s">
        <v>26</v>
      </c>
      <c r="F35" t="s">
        <v>30</v>
      </c>
      <c r="G35" t="s">
        <v>620</v>
      </c>
      <c r="H35">
        <v>3</v>
      </c>
      <c r="I35">
        <v>1</v>
      </c>
      <c r="J35" t="s">
        <v>766</v>
      </c>
      <c r="K35">
        <f>IF(AND(H35=OFICIAL!F34, I35=OFICIAL!G34), 5, 0)</f>
        <v>0</v>
      </c>
    </row>
    <row r="36" spans="1:11" x14ac:dyDescent="0.25">
      <c r="A36" t="s">
        <v>1</v>
      </c>
      <c r="B36" t="s">
        <v>87</v>
      </c>
      <c r="C36" t="s">
        <v>623</v>
      </c>
      <c r="D36" t="s">
        <v>22</v>
      </c>
      <c r="E36" t="s">
        <v>23</v>
      </c>
      <c r="F36" t="s">
        <v>28</v>
      </c>
      <c r="G36" t="s">
        <v>624</v>
      </c>
      <c r="H36">
        <v>2</v>
      </c>
      <c r="I36">
        <v>2</v>
      </c>
      <c r="J36" t="s">
        <v>765</v>
      </c>
      <c r="K36">
        <f>IF(AND(H36=OFICIAL!F35, I36=OFICIAL!G35), 5, 0)</f>
        <v>0</v>
      </c>
    </row>
    <row r="37" spans="1:11" x14ac:dyDescent="0.25">
      <c r="A37" t="s">
        <v>1</v>
      </c>
      <c r="B37" t="s">
        <v>87</v>
      </c>
      <c r="C37" t="s">
        <v>625</v>
      </c>
      <c r="D37" t="s">
        <v>22</v>
      </c>
      <c r="E37" t="s">
        <v>24</v>
      </c>
      <c r="F37" t="s">
        <v>29</v>
      </c>
      <c r="G37" t="s">
        <v>626</v>
      </c>
      <c r="H37">
        <v>0</v>
      </c>
      <c r="I37">
        <v>3</v>
      </c>
      <c r="J37" t="s">
        <v>765</v>
      </c>
      <c r="K37">
        <f>IF(AND(H37=OFICIAL!F36, I37=OFICIAL!G36), 5, 0)</f>
        <v>0</v>
      </c>
    </row>
    <row r="38" spans="1:11" x14ac:dyDescent="0.25">
      <c r="A38" t="s">
        <v>1</v>
      </c>
      <c r="B38" t="s">
        <v>87</v>
      </c>
      <c r="C38" t="s">
        <v>627</v>
      </c>
      <c r="D38" t="s">
        <v>25</v>
      </c>
      <c r="E38" t="s">
        <v>27</v>
      </c>
      <c r="F38" t="s">
        <v>31</v>
      </c>
      <c r="G38" t="s">
        <v>628</v>
      </c>
      <c r="H38">
        <v>2</v>
      </c>
      <c r="I38">
        <v>0</v>
      </c>
      <c r="J38" t="s">
        <v>766</v>
      </c>
      <c r="K38">
        <f>IF(AND(H38=OFICIAL!F37, I38=OFICIAL!G37), 5, 0)</f>
        <v>0</v>
      </c>
    </row>
    <row r="39" spans="1:11" x14ac:dyDescent="0.25">
      <c r="A39" t="s">
        <v>1</v>
      </c>
      <c r="B39" t="s">
        <v>87</v>
      </c>
      <c r="C39" t="s">
        <v>629</v>
      </c>
      <c r="D39" t="s">
        <v>32</v>
      </c>
      <c r="E39" t="s">
        <v>33</v>
      </c>
      <c r="F39" t="s">
        <v>38</v>
      </c>
      <c r="G39" t="s">
        <v>630</v>
      </c>
      <c r="H39">
        <v>2</v>
      </c>
      <c r="I39">
        <v>0</v>
      </c>
      <c r="J39" t="s">
        <v>767</v>
      </c>
      <c r="K39">
        <f>IF(AND(H39=OFICIAL!F38, I39=OFICIAL!G38), 5, 0)</f>
        <v>0</v>
      </c>
    </row>
    <row r="40" spans="1:11" x14ac:dyDescent="0.25">
      <c r="A40" t="s">
        <v>1</v>
      </c>
      <c r="B40" t="s">
        <v>87</v>
      </c>
      <c r="C40" t="s">
        <v>631</v>
      </c>
      <c r="D40" t="s">
        <v>35</v>
      </c>
      <c r="E40" t="s">
        <v>36</v>
      </c>
      <c r="F40" t="s">
        <v>40</v>
      </c>
      <c r="G40" t="s">
        <v>632</v>
      </c>
      <c r="H40">
        <v>2</v>
      </c>
      <c r="I40">
        <v>1</v>
      </c>
      <c r="J40" t="s">
        <v>768</v>
      </c>
      <c r="K40">
        <f>IF(AND(H40=OFICIAL!F39, I40=OFICIAL!G39), 5, 0)</f>
        <v>0</v>
      </c>
    </row>
    <row r="41" spans="1:11" x14ac:dyDescent="0.25">
      <c r="A41" t="s">
        <v>1</v>
      </c>
      <c r="B41" t="s">
        <v>87</v>
      </c>
      <c r="C41" s="4" t="s">
        <v>633</v>
      </c>
      <c r="D41" t="s">
        <v>32</v>
      </c>
      <c r="E41" t="s">
        <v>34</v>
      </c>
      <c r="F41" t="s">
        <v>39</v>
      </c>
      <c r="G41" t="s">
        <v>634</v>
      </c>
      <c r="H41">
        <v>0</v>
      </c>
      <c r="I41">
        <v>2</v>
      </c>
      <c r="J41" t="s">
        <v>767</v>
      </c>
      <c r="K41">
        <f>IF(AND(H41=OFICIAL!F40, I41=OFICIAL!G40), 5, 0)</f>
        <v>0</v>
      </c>
    </row>
    <row r="42" spans="1:11" x14ac:dyDescent="0.25">
      <c r="A42" t="s">
        <v>1</v>
      </c>
      <c r="B42" t="s">
        <v>87</v>
      </c>
      <c r="C42" t="s">
        <v>635</v>
      </c>
      <c r="D42" t="s">
        <v>35</v>
      </c>
      <c r="E42" t="s">
        <v>37</v>
      </c>
      <c r="F42" t="s">
        <v>41</v>
      </c>
      <c r="G42" t="s">
        <v>636</v>
      </c>
      <c r="H42">
        <v>3</v>
      </c>
      <c r="I42">
        <v>0</v>
      </c>
      <c r="J42" t="s">
        <v>768</v>
      </c>
      <c r="K42">
        <f>IF(AND(H42=OFICIAL!F41, I42=OFICIAL!G41), 5, 0)</f>
        <v>0</v>
      </c>
    </row>
    <row r="43" spans="1:11" x14ac:dyDescent="0.25">
      <c r="A43" t="s">
        <v>1</v>
      </c>
      <c r="B43" t="s">
        <v>87</v>
      </c>
      <c r="C43" s="4" t="s">
        <v>637</v>
      </c>
      <c r="D43" t="s">
        <v>47</v>
      </c>
      <c r="E43" t="s">
        <v>48</v>
      </c>
      <c r="F43" t="s">
        <v>50</v>
      </c>
      <c r="G43" t="s">
        <v>638</v>
      </c>
      <c r="H43">
        <v>1</v>
      </c>
      <c r="I43">
        <v>1</v>
      </c>
      <c r="J43" t="s">
        <v>770</v>
      </c>
      <c r="K43">
        <f>IF(AND(H43=OFICIAL!F42, I43=OFICIAL!G42), 5, 0)</f>
        <v>0</v>
      </c>
    </row>
    <row r="44" spans="1:11" x14ac:dyDescent="0.25">
      <c r="A44" t="s">
        <v>1</v>
      </c>
      <c r="B44" t="s">
        <v>87</v>
      </c>
      <c r="C44" t="s">
        <v>639</v>
      </c>
      <c r="D44" t="s">
        <v>42</v>
      </c>
      <c r="E44" t="s">
        <v>43</v>
      </c>
      <c r="F44" t="s">
        <v>45</v>
      </c>
      <c r="G44" t="s">
        <v>640</v>
      </c>
      <c r="H44">
        <v>4</v>
      </c>
      <c r="I44">
        <v>0</v>
      </c>
      <c r="J44" t="s">
        <v>769</v>
      </c>
      <c r="K44">
        <f>IF(AND(H44=OFICIAL!F43, I44=OFICIAL!G43), 5, 0)</f>
        <v>0</v>
      </c>
    </row>
    <row r="45" spans="1:11" x14ac:dyDescent="0.25">
      <c r="A45" t="s">
        <v>1</v>
      </c>
      <c r="B45" t="s">
        <v>87</v>
      </c>
      <c r="C45" t="s">
        <v>641</v>
      </c>
      <c r="D45" t="s">
        <v>42</v>
      </c>
      <c r="E45" t="s">
        <v>44</v>
      </c>
      <c r="F45" t="s">
        <v>46</v>
      </c>
      <c r="G45" t="s">
        <v>642</v>
      </c>
      <c r="H45">
        <v>1</v>
      </c>
      <c r="I45">
        <v>1</v>
      </c>
      <c r="J45" t="s">
        <v>769</v>
      </c>
      <c r="K45">
        <f>IF(AND(H45=OFICIAL!F44, I45=OFICIAL!G44), 5, 0)</f>
        <v>0</v>
      </c>
    </row>
    <row r="46" spans="1:11" x14ac:dyDescent="0.25">
      <c r="A46" t="s">
        <v>1</v>
      </c>
      <c r="B46" t="s">
        <v>87</v>
      </c>
      <c r="C46" t="s">
        <v>643</v>
      </c>
      <c r="D46" t="s">
        <v>47</v>
      </c>
      <c r="E46" t="s">
        <v>49</v>
      </c>
      <c r="F46" t="s">
        <v>51</v>
      </c>
      <c r="G46" t="s">
        <v>644</v>
      </c>
      <c r="H46">
        <v>2</v>
      </c>
      <c r="I46">
        <v>0</v>
      </c>
      <c r="J46" t="s">
        <v>770</v>
      </c>
      <c r="K46">
        <f>IF(AND(H46=OFICIAL!F45, I46=OFICIAL!G45), 5, 0)</f>
        <v>0</v>
      </c>
    </row>
    <row r="47" spans="1:11" x14ac:dyDescent="0.25">
      <c r="A47" t="s">
        <v>1</v>
      </c>
      <c r="B47" t="s">
        <v>87</v>
      </c>
      <c r="C47" t="s">
        <v>645</v>
      </c>
      <c r="D47" t="s">
        <v>52</v>
      </c>
      <c r="E47" t="s">
        <v>53</v>
      </c>
      <c r="F47" t="s">
        <v>60</v>
      </c>
      <c r="G47" t="s">
        <v>646</v>
      </c>
      <c r="H47">
        <v>2</v>
      </c>
      <c r="I47">
        <v>1</v>
      </c>
      <c r="J47" t="s">
        <v>771</v>
      </c>
      <c r="K47">
        <f>IF(AND(H47=OFICIAL!F46, I47=OFICIAL!G46), 5, 0)</f>
        <v>0</v>
      </c>
    </row>
    <row r="48" spans="1:11" x14ac:dyDescent="0.25">
      <c r="A48" t="s">
        <v>1</v>
      </c>
      <c r="B48" t="s">
        <v>87</v>
      </c>
      <c r="C48" t="s">
        <v>647</v>
      </c>
      <c r="D48" t="s">
        <v>55</v>
      </c>
      <c r="E48" t="s">
        <v>56</v>
      </c>
      <c r="F48" t="s">
        <v>58</v>
      </c>
      <c r="G48" t="s">
        <v>648</v>
      </c>
      <c r="H48">
        <v>3</v>
      </c>
      <c r="I48">
        <v>1</v>
      </c>
      <c r="J48" t="s">
        <v>772</v>
      </c>
      <c r="K48">
        <f>IF(AND(H48=OFICIAL!F47, I48=OFICIAL!G47), 5, 0)</f>
        <v>0</v>
      </c>
    </row>
    <row r="49" spans="1:11" x14ac:dyDescent="0.25">
      <c r="A49" t="s">
        <v>1</v>
      </c>
      <c r="B49" t="s">
        <v>87</v>
      </c>
      <c r="C49" t="s">
        <v>649</v>
      </c>
      <c r="D49" t="s">
        <v>55</v>
      </c>
      <c r="E49" t="s">
        <v>57</v>
      </c>
      <c r="F49" t="s">
        <v>59</v>
      </c>
      <c r="G49" t="s">
        <v>650</v>
      </c>
      <c r="H49">
        <v>2</v>
      </c>
      <c r="I49">
        <v>0</v>
      </c>
      <c r="J49" t="s">
        <v>772</v>
      </c>
      <c r="K49">
        <f>IF(AND(H49=OFICIAL!F48, I49=OFICIAL!G48), 5, 0)</f>
        <v>0</v>
      </c>
    </row>
    <row r="50" spans="1:11" x14ac:dyDescent="0.25">
      <c r="A50" t="s">
        <v>1</v>
      </c>
      <c r="B50" t="s">
        <v>87</v>
      </c>
      <c r="C50" t="s">
        <v>651</v>
      </c>
      <c r="D50" t="s">
        <v>52</v>
      </c>
      <c r="E50" t="s">
        <v>54</v>
      </c>
      <c r="F50" t="s">
        <v>61</v>
      </c>
      <c r="G50" t="s">
        <v>652</v>
      </c>
      <c r="H50">
        <v>0</v>
      </c>
      <c r="I50">
        <v>2</v>
      </c>
      <c r="J50" t="s">
        <v>771</v>
      </c>
      <c r="K50">
        <f>IF(AND(H50=OFICIAL!F49, I50=OFICIAL!G49), 5, 0)</f>
        <v>0</v>
      </c>
    </row>
    <row r="51" spans="1:11" x14ac:dyDescent="0.25">
      <c r="A51" t="s">
        <v>1</v>
      </c>
      <c r="B51" t="s">
        <v>87</v>
      </c>
      <c r="C51" t="s">
        <v>653</v>
      </c>
      <c r="D51" t="s">
        <v>7</v>
      </c>
      <c r="E51" t="s">
        <v>14</v>
      </c>
      <c r="F51" t="s">
        <v>8</v>
      </c>
      <c r="G51" t="s">
        <v>654</v>
      </c>
      <c r="H51">
        <v>2</v>
      </c>
      <c r="I51">
        <v>0</v>
      </c>
      <c r="J51" t="s">
        <v>762</v>
      </c>
      <c r="K51">
        <f>IF(AND(H51=OFICIAL!F50, I51=OFICIAL!G50), 5, 0)</f>
        <v>0</v>
      </c>
    </row>
    <row r="52" spans="1:11" x14ac:dyDescent="0.25">
      <c r="A52" t="s">
        <v>1</v>
      </c>
      <c r="B52" t="s">
        <v>87</v>
      </c>
      <c r="C52" t="s">
        <v>655</v>
      </c>
      <c r="D52" t="s">
        <v>7</v>
      </c>
      <c r="E52" t="s">
        <v>9</v>
      </c>
      <c r="F52" t="s">
        <v>13</v>
      </c>
      <c r="G52" t="s">
        <v>654</v>
      </c>
      <c r="H52">
        <v>1</v>
      </c>
      <c r="I52">
        <v>1</v>
      </c>
      <c r="J52" t="s">
        <v>762</v>
      </c>
      <c r="K52">
        <f>IF(AND(H52=OFICIAL!F51, I52=OFICIAL!G51), 5, 0)</f>
        <v>0</v>
      </c>
    </row>
    <row r="53" spans="1:11" x14ac:dyDescent="0.25">
      <c r="A53" t="s">
        <v>1</v>
      </c>
      <c r="B53" t="s">
        <v>87</v>
      </c>
      <c r="C53" t="s">
        <v>656</v>
      </c>
      <c r="D53" t="s">
        <v>15</v>
      </c>
      <c r="E53" t="s">
        <v>19</v>
      </c>
      <c r="F53" t="s">
        <v>16</v>
      </c>
      <c r="G53" t="s">
        <v>657</v>
      </c>
      <c r="H53">
        <v>1</v>
      </c>
      <c r="I53">
        <v>1</v>
      </c>
      <c r="J53" t="s">
        <v>764</v>
      </c>
      <c r="K53">
        <f>IF(AND(H53=OFICIAL!F52, I53=OFICIAL!G52), 5, 0)</f>
        <v>0</v>
      </c>
    </row>
    <row r="54" spans="1:11" x14ac:dyDescent="0.25">
      <c r="A54" t="s">
        <v>1</v>
      </c>
      <c r="B54" t="s">
        <v>87</v>
      </c>
      <c r="C54" t="s">
        <v>658</v>
      </c>
      <c r="D54" t="s">
        <v>15</v>
      </c>
      <c r="E54" t="s">
        <v>17</v>
      </c>
      <c r="F54" t="s">
        <v>18</v>
      </c>
      <c r="G54" t="s">
        <v>657</v>
      </c>
      <c r="H54">
        <v>3</v>
      </c>
      <c r="I54">
        <v>0</v>
      </c>
      <c r="J54" t="s">
        <v>764</v>
      </c>
      <c r="K54">
        <f>IF(AND(H54=OFICIAL!F53, I54=OFICIAL!G53), 5, 0)</f>
        <v>0</v>
      </c>
    </row>
    <row r="55" spans="1:11" x14ac:dyDescent="0.25">
      <c r="A55" t="s">
        <v>1</v>
      </c>
      <c r="B55" t="s">
        <v>87</v>
      </c>
      <c r="C55" t="s">
        <v>661</v>
      </c>
      <c r="D55" t="s">
        <v>2</v>
      </c>
      <c r="E55" t="s">
        <v>6</v>
      </c>
      <c r="F55" t="s">
        <v>3</v>
      </c>
      <c r="G55" t="s">
        <v>660</v>
      </c>
      <c r="H55">
        <v>1</v>
      </c>
      <c r="I55">
        <v>2</v>
      </c>
      <c r="J55" t="s">
        <v>761</v>
      </c>
      <c r="K55">
        <f>IF(AND(H55=OFICIAL!F54, I55=OFICIAL!G54), 5, 0)</f>
        <v>0</v>
      </c>
    </row>
    <row r="56" spans="1:11" x14ac:dyDescent="0.25">
      <c r="A56" t="s">
        <v>1</v>
      </c>
      <c r="B56" t="s">
        <v>87</v>
      </c>
      <c r="C56" t="s">
        <v>659</v>
      </c>
      <c r="D56" t="s">
        <v>2</v>
      </c>
      <c r="E56" t="s">
        <v>5</v>
      </c>
      <c r="F56" t="s">
        <v>4</v>
      </c>
      <c r="G56" t="s">
        <v>660</v>
      </c>
      <c r="H56">
        <v>3</v>
      </c>
      <c r="I56">
        <v>0</v>
      </c>
      <c r="J56" t="s">
        <v>761</v>
      </c>
      <c r="K56">
        <f>IF(AND(H56=OFICIAL!F55, I56=OFICIAL!G55), 5, 0)</f>
        <v>0</v>
      </c>
    </row>
    <row r="57" spans="1:11" x14ac:dyDescent="0.25">
      <c r="A57" t="s">
        <v>1</v>
      </c>
      <c r="B57" t="s">
        <v>87</v>
      </c>
      <c r="C57" t="s">
        <v>664</v>
      </c>
      <c r="D57" t="s">
        <v>22</v>
      </c>
      <c r="E57" t="s">
        <v>24</v>
      </c>
      <c r="F57" t="s">
        <v>28</v>
      </c>
      <c r="G57" t="s">
        <v>663</v>
      </c>
      <c r="H57">
        <v>0</v>
      </c>
      <c r="I57">
        <v>3</v>
      </c>
      <c r="J57" t="s">
        <v>765</v>
      </c>
      <c r="K57">
        <f>IF(AND(H57=OFICIAL!F56, I57=OFICIAL!G56), 5, 0)</f>
        <v>0</v>
      </c>
    </row>
    <row r="58" spans="1:11" x14ac:dyDescent="0.25">
      <c r="A58" t="s">
        <v>1</v>
      </c>
      <c r="B58" t="s">
        <v>87</v>
      </c>
      <c r="C58" t="s">
        <v>662</v>
      </c>
      <c r="D58" t="s">
        <v>22</v>
      </c>
      <c r="E58" t="s">
        <v>29</v>
      </c>
      <c r="F58" t="s">
        <v>23</v>
      </c>
      <c r="G58" t="s">
        <v>663</v>
      </c>
      <c r="H58">
        <v>1</v>
      </c>
      <c r="I58">
        <v>2</v>
      </c>
      <c r="J58" t="s">
        <v>765</v>
      </c>
      <c r="K58">
        <f>IF(AND(H58=OFICIAL!F57, I58=OFICIAL!G57), 5, 0)</f>
        <v>0</v>
      </c>
    </row>
    <row r="59" spans="1:11" x14ac:dyDescent="0.25">
      <c r="A59" t="s">
        <v>1</v>
      </c>
      <c r="B59" t="s">
        <v>87</v>
      </c>
      <c r="C59" t="s">
        <v>665</v>
      </c>
      <c r="D59" t="s">
        <v>25</v>
      </c>
      <c r="E59" t="s">
        <v>27</v>
      </c>
      <c r="F59" t="s">
        <v>30</v>
      </c>
      <c r="G59" t="s">
        <v>666</v>
      </c>
      <c r="H59">
        <v>2</v>
      </c>
      <c r="I59">
        <v>1</v>
      </c>
      <c r="J59" t="s">
        <v>766</v>
      </c>
      <c r="K59">
        <f>IF(AND(H59=OFICIAL!F58, I59=OFICIAL!G58), 5, 0)</f>
        <v>0</v>
      </c>
    </row>
    <row r="60" spans="1:11" x14ac:dyDescent="0.25">
      <c r="A60" t="s">
        <v>1</v>
      </c>
      <c r="B60" t="s">
        <v>87</v>
      </c>
      <c r="C60" t="s">
        <v>667</v>
      </c>
      <c r="D60" t="s">
        <v>25</v>
      </c>
      <c r="E60" t="s">
        <v>31</v>
      </c>
      <c r="F60" t="s">
        <v>26</v>
      </c>
      <c r="G60" t="s">
        <v>666</v>
      </c>
      <c r="H60">
        <v>0</v>
      </c>
      <c r="I60">
        <v>2</v>
      </c>
      <c r="J60" t="s">
        <v>766</v>
      </c>
      <c r="K60">
        <f>IF(AND(H60=OFICIAL!F59, I60=OFICIAL!G59), 5, 0)</f>
        <v>0</v>
      </c>
    </row>
    <row r="61" spans="1:11" x14ac:dyDescent="0.25">
      <c r="A61" t="s">
        <v>1</v>
      </c>
      <c r="B61" t="s">
        <v>87</v>
      </c>
      <c r="C61" t="s">
        <v>670</v>
      </c>
      <c r="D61" t="s">
        <v>10</v>
      </c>
      <c r="E61" t="s">
        <v>12</v>
      </c>
      <c r="F61" t="s">
        <v>20</v>
      </c>
      <c r="G61" t="s">
        <v>669</v>
      </c>
      <c r="H61">
        <v>2</v>
      </c>
      <c r="I61">
        <v>1</v>
      </c>
      <c r="J61" t="s">
        <v>763</v>
      </c>
      <c r="K61">
        <f>IF(AND(H61=OFICIAL!F60, I61=OFICIAL!G60), 5, 0)</f>
        <v>0</v>
      </c>
    </row>
    <row r="62" spans="1:11" x14ac:dyDescent="0.25">
      <c r="A62" t="s">
        <v>1</v>
      </c>
      <c r="B62" t="s">
        <v>87</v>
      </c>
      <c r="C62" t="s">
        <v>668</v>
      </c>
      <c r="D62" t="s">
        <v>10</v>
      </c>
      <c r="E62" t="s">
        <v>21</v>
      </c>
      <c r="F62" t="s">
        <v>11</v>
      </c>
      <c r="G62" t="s">
        <v>669</v>
      </c>
      <c r="H62">
        <v>1</v>
      </c>
      <c r="I62">
        <v>1</v>
      </c>
      <c r="J62" t="s">
        <v>763</v>
      </c>
      <c r="K62">
        <f>IF(AND(H62=OFICIAL!F61, I62=OFICIAL!G61), 5, 0)</f>
        <v>0</v>
      </c>
    </row>
    <row r="63" spans="1:11" x14ac:dyDescent="0.25">
      <c r="A63" t="s">
        <v>1</v>
      </c>
      <c r="B63" t="s">
        <v>87</v>
      </c>
      <c r="C63" t="s">
        <v>671</v>
      </c>
      <c r="D63" t="s">
        <v>42</v>
      </c>
      <c r="E63" t="s">
        <v>46</v>
      </c>
      <c r="F63" t="s">
        <v>43</v>
      </c>
      <c r="G63" t="s">
        <v>672</v>
      </c>
      <c r="H63">
        <v>1</v>
      </c>
      <c r="I63">
        <v>2</v>
      </c>
      <c r="J63" t="s">
        <v>769</v>
      </c>
      <c r="K63">
        <f>IF(AND(H63=OFICIAL!F62, I63=OFICIAL!G62), 5, 0)</f>
        <v>0</v>
      </c>
    </row>
    <row r="64" spans="1:11" x14ac:dyDescent="0.25">
      <c r="A64" t="s">
        <v>1</v>
      </c>
      <c r="B64" t="s">
        <v>87</v>
      </c>
      <c r="C64" t="s">
        <v>673</v>
      </c>
      <c r="D64" t="s">
        <v>42</v>
      </c>
      <c r="E64" t="s">
        <v>44</v>
      </c>
      <c r="F64" t="s">
        <v>45</v>
      </c>
      <c r="G64" t="s">
        <v>672</v>
      </c>
      <c r="H64">
        <v>2</v>
      </c>
      <c r="I64">
        <v>0</v>
      </c>
      <c r="J64" t="s">
        <v>769</v>
      </c>
      <c r="K64">
        <f>IF(AND(H64=OFICIAL!F63, I64=OFICIAL!G63), 5, 0)</f>
        <v>0</v>
      </c>
    </row>
    <row r="65" spans="1:12" x14ac:dyDescent="0.25">
      <c r="A65" t="s">
        <v>1</v>
      </c>
      <c r="B65" t="s">
        <v>87</v>
      </c>
      <c r="C65" t="s">
        <v>676</v>
      </c>
      <c r="D65" t="s">
        <v>32</v>
      </c>
      <c r="E65" t="s">
        <v>34</v>
      </c>
      <c r="F65" t="s">
        <v>38</v>
      </c>
      <c r="G65" t="s">
        <v>675</v>
      </c>
      <c r="H65">
        <v>0</v>
      </c>
      <c r="I65">
        <v>2</v>
      </c>
      <c r="J65" t="s">
        <v>767</v>
      </c>
      <c r="K65">
        <f>IF(AND(H65=OFICIAL!F64, I65=OFICIAL!G64), 5, 0)</f>
        <v>0</v>
      </c>
    </row>
    <row r="66" spans="1:12" x14ac:dyDescent="0.25">
      <c r="A66" t="s">
        <v>1</v>
      </c>
      <c r="B66" t="s">
        <v>87</v>
      </c>
      <c r="C66" t="s">
        <v>674</v>
      </c>
      <c r="D66" t="s">
        <v>32</v>
      </c>
      <c r="E66" t="s">
        <v>39</v>
      </c>
      <c r="F66" t="s">
        <v>33</v>
      </c>
      <c r="G66" t="s">
        <v>675</v>
      </c>
      <c r="H66">
        <v>1</v>
      </c>
      <c r="I66">
        <v>1</v>
      </c>
      <c r="J66" t="s">
        <v>767</v>
      </c>
      <c r="K66">
        <f>IF(AND(H66=OFICIAL!F65, I66=OFICIAL!G65), 5, 0)</f>
        <v>0</v>
      </c>
    </row>
    <row r="67" spans="1:12" x14ac:dyDescent="0.25">
      <c r="A67" t="s">
        <v>1</v>
      </c>
      <c r="B67" t="s">
        <v>87</v>
      </c>
      <c r="C67" t="s">
        <v>677</v>
      </c>
      <c r="D67" t="s">
        <v>35</v>
      </c>
      <c r="E67" t="s">
        <v>37</v>
      </c>
      <c r="F67" t="s">
        <v>40</v>
      </c>
      <c r="G67" t="s">
        <v>678</v>
      </c>
      <c r="H67">
        <v>1</v>
      </c>
      <c r="I67">
        <v>1</v>
      </c>
      <c r="J67" t="s">
        <v>768</v>
      </c>
      <c r="K67">
        <f>IF(AND(H67=OFICIAL!F66, I67=OFICIAL!G66), 5, 0)</f>
        <v>0</v>
      </c>
    </row>
    <row r="68" spans="1:12" x14ac:dyDescent="0.25">
      <c r="A68" t="s">
        <v>1</v>
      </c>
      <c r="B68" t="s">
        <v>87</v>
      </c>
      <c r="C68" t="s">
        <v>679</v>
      </c>
      <c r="D68" t="s">
        <v>35</v>
      </c>
      <c r="E68" t="s">
        <v>41</v>
      </c>
      <c r="F68" t="s">
        <v>36</v>
      </c>
      <c r="G68" t="s">
        <v>678</v>
      </c>
      <c r="H68">
        <v>0</v>
      </c>
      <c r="I68">
        <v>2</v>
      </c>
      <c r="J68" t="s">
        <v>768</v>
      </c>
      <c r="K68">
        <f>IF(AND(H68=OFICIAL!F67, I68=OFICIAL!G67), 5, 0)</f>
        <v>0</v>
      </c>
    </row>
    <row r="69" spans="1:12" x14ac:dyDescent="0.25">
      <c r="A69" t="s">
        <v>1</v>
      </c>
      <c r="B69" t="s">
        <v>87</v>
      </c>
      <c r="C69" t="s">
        <v>682</v>
      </c>
      <c r="D69" t="s">
        <v>55</v>
      </c>
      <c r="E69" t="s">
        <v>57</v>
      </c>
      <c r="F69" t="s">
        <v>58</v>
      </c>
      <c r="G69" t="s">
        <v>681</v>
      </c>
      <c r="H69">
        <v>1</v>
      </c>
      <c r="I69">
        <v>1</v>
      </c>
      <c r="J69" t="s">
        <v>772</v>
      </c>
      <c r="K69">
        <f>IF(AND(H69=OFICIAL!F68, I69=OFICIAL!G68), 5, 0)</f>
        <v>0</v>
      </c>
    </row>
    <row r="70" spans="1:12" x14ac:dyDescent="0.25">
      <c r="A70" t="s">
        <v>1</v>
      </c>
      <c r="B70" t="s">
        <v>87</v>
      </c>
      <c r="C70" t="s">
        <v>680</v>
      </c>
      <c r="D70" t="s">
        <v>55</v>
      </c>
      <c r="E70" t="s">
        <v>59</v>
      </c>
      <c r="F70" t="s">
        <v>56</v>
      </c>
      <c r="G70" t="s">
        <v>681</v>
      </c>
      <c r="H70">
        <v>0</v>
      </c>
      <c r="I70">
        <v>3</v>
      </c>
      <c r="J70" t="s">
        <v>772</v>
      </c>
      <c r="K70">
        <f>IF(AND(H70=OFICIAL!F69, I70=OFICIAL!G69), 5, 0)</f>
        <v>0</v>
      </c>
    </row>
    <row r="71" spans="1:12" x14ac:dyDescent="0.25">
      <c r="A71" t="s">
        <v>1</v>
      </c>
      <c r="B71" t="s">
        <v>87</v>
      </c>
      <c r="C71" t="s">
        <v>685</v>
      </c>
      <c r="D71" t="s">
        <v>52</v>
      </c>
      <c r="E71" t="s">
        <v>61</v>
      </c>
      <c r="F71" t="s">
        <v>53</v>
      </c>
      <c r="G71" t="s">
        <v>684</v>
      </c>
      <c r="H71">
        <v>1</v>
      </c>
      <c r="I71">
        <v>1</v>
      </c>
      <c r="J71" t="s">
        <v>771</v>
      </c>
      <c r="K71">
        <f>IF(AND(H71=OFICIAL!F70, I71=OFICIAL!G70), 5, 0)</f>
        <v>0</v>
      </c>
    </row>
    <row r="72" spans="1:12" x14ac:dyDescent="0.25">
      <c r="A72" t="s">
        <v>1</v>
      </c>
      <c r="B72" t="s">
        <v>87</v>
      </c>
      <c r="C72" t="s">
        <v>683</v>
      </c>
      <c r="D72" t="s">
        <v>52</v>
      </c>
      <c r="E72" t="s">
        <v>54</v>
      </c>
      <c r="F72" t="s">
        <v>60</v>
      </c>
      <c r="G72" t="s">
        <v>684</v>
      </c>
      <c r="H72">
        <v>0</v>
      </c>
      <c r="I72">
        <v>2</v>
      </c>
      <c r="J72" t="s">
        <v>771</v>
      </c>
      <c r="K72">
        <f>IF(AND(H72=OFICIAL!F71, I72=OFICIAL!G71), 5, 0)</f>
        <v>0</v>
      </c>
    </row>
    <row r="73" spans="1:12" x14ac:dyDescent="0.25">
      <c r="A73" t="s">
        <v>1</v>
      </c>
      <c r="B73" t="s">
        <v>87</v>
      </c>
      <c r="C73" s="4" t="s">
        <v>688</v>
      </c>
      <c r="D73" t="s">
        <v>47</v>
      </c>
      <c r="E73" t="s">
        <v>51</v>
      </c>
      <c r="F73" t="s">
        <v>48</v>
      </c>
      <c r="G73" t="s">
        <v>687</v>
      </c>
      <c r="H73">
        <v>0</v>
      </c>
      <c r="I73">
        <v>3</v>
      </c>
      <c r="J73" t="s">
        <v>770</v>
      </c>
      <c r="K73">
        <f>IF(AND(H73=OFICIAL!F72, I73=OFICIAL!G72), 5, 0)</f>
        <v>0</v>
      </c>
    </row>
    <row r="74" spans="1:12" x14ac:dyDescent="0.25">
      <c r="A74" t="s">
        <v>1</v>
      </c>
      <c r="B74" t="s">
        <v>87</v>
      </c>
      <c r="C74" t="s">
        <v>686</v>
      </c>
      <c r="D74" t="s">
        <v>47</v>
      </c>
      <c r="E74" t="s">
        <v>49</v>
      </c>
      <c r="F74" t="s">
        <v>50</v>
      </c>
      <c r="G74" t="s">
        <v>687</v>
      </c>
      <c r="H74">
        <v>1</v>
      </c>
      <c r="I74">
        <v>1</v>
      </c>
      <c r="J74" t="s">
        <v>770</v>
      </c>
      <c r="K74">
        <f>IF(AND(H74=OFICIAL!F73, I74=OFICIAL!G73), 5, 0)</f>
        <v>0</v>
      </c>
    </row>
    <row r="76" spans="1:12" ht="18" customHeight="1" thickBot="1" x14ac:dyDescent="0.3">
      <c r="A76" s="23" t="s">
        <v>62</v>
      </c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</row>
    <row r="77" spans="1:12" ht="15.75" thickBot="1" x14ac:dyDescent="0.3">
      <c r="A77" t="s">
        <v>63</v>
      </c>
      <c r="B77" t="s">
        <v>89</v>
      </c>
      <c r="C77" t="s">
        <v>554</v>
      </c>
      <c r="D77" t="s">
        <v>2</v>
      </c>
      <c r="E77" t="s">
        <v>3</v>
      </c>
      <c r="F77" t="s">
        <v>4</v>
      </c>
      <c r="G77" t="s">
        <v>555</v>
      </c>
      <c r="H77">
        <v>3</v>
      </c>
      <c r="I77">
        <v>1</v>
      </c>
      <c r="J77" t="s">
        <v>773</v>
      </c>
      <c r="K77">
        <f>IF(AND(H77=OFICIAL!F2, I77=OFICIAL!G2), 5, 0)</f>
        <v>0</v>
      </c>
      <c r="L77" s="6">
        <f>SUM(K77:K148)</f>
        <v>20</v>
      </c>
    </row>
    <row r="78" spans="1:12" x14ac:dyDescent="0.25">
      <c r="A78" t="s">
        <v>63</v>
      </c>
      <c r="B78" t="s">
        <v>89</v>
      </c>
      <c r="C78" t="s">
        <v>557</v>
      </c>
      <c r="D78" t="s">
        <v>2</v>
      </c>
      <c r="E78" t="s">
        <v>5</v>
      </c>
      <c r="F78" t="s">
        <v>6</v>
      </c>
      <c r="G78" t="s">
        <v>558</v>
      </c>
      <c r="H78">
        <v>1</v>
      </c>
      <c r="I78">
        <v>3</v>
      </c>
      <c r="J78" t="s">
        <v>773</v>
      </c>
      <c r="K78">
        <f>IF(AND(H78=OFICIAL!F3, I78=OFICIAL!G3), 5, 0)</f>
        <v>0</v>
      </c>
    </row>
    <row r="79" spans="1:12" x14ac:dyDescent="0.25">
      <c r="A79" t="s">
        <v>63</v>
      </c>
      <c r="B79" t="s">
        <v>89</v>
      </c>
      <c r="C79" t="s">
        <v>559</v>
      </c>
      <c r="D79" t="s">
        <v>7</v>
      </c>
      <c r="E79" t="s">
        <v>8</v>
      </c>
      <c r="F79" t="s">
        <v>9</v>
      </c>
      <c r="G79" t="s">
        <v>560</v>
      </c>
      <c r="H79">
        <v>1</v>
      </c>
      <c r="I79">
        <v>0</v>
      </c>
      <c r="J79" t="s">
        <v>774</v>
      </c>
      <c r="K79">
        <f>IF(AND(H79=OFICIAL!F4, I79=OFICIAL!G4), 5, 0)</f>
        <v>0</v>
      </c>
    </row>
    <row r="80" spans="1:12" x14ac:dyDescent="0.25">
      <c r="A80" t="s">
        <v>63</v>
      </c>
      <c r="B80" t="s">
        <v>89</v>
      </c>
      <c r="C80" t="s">
        <v>561</v>
      </c>
      <c r="D80" t="s">
        <v>10</v>
      </c>
      <c r="E80" t="s">
        <v>11</v>
      </c>
      <c r="F80" t="s">
        <v>12</v>
      </c>
      <c r="G80" t="s">
        <v>562</v>
      </c>
      <c r="H80">
        <v>1</v>
      </c>
      <c r="I80">
        <v>1</v>
      </c>
      <c r="J80" t="s">
        <v>775</v>
      </c>
      <c r="K80">
        <f>IF(AND(H80=OFICIAL!F5, I80=OFICIAL!G5), 5, 0)</f>
        <v>0</v>
      </c>
    </row>
    <row r="81" spans="1:11" x14ac:dyDescent="0.25">
      <c r="A81" t="s">
        <v>63</v>
      </c>
      <c r="B81" t="s">
        <v>89</v>
      </c>
      <c r="C81" t="s">
        <v>563</v>
      </c>
      <c r="D81" t="s">
        <v>7</v>
      </c>
      <c r="E81" t="s">
        <v>13</v>
      </c>
      <c r="F81" t="s">
        <v>14</v>
      </c>
      <c r="G81" t="s">
        <v>564</v>
      </c>
      <c r="H81">
        <v>0</v>
      </c>
      <c r="I81">
        <v>0</v>
      </c>
      <c r="J81" t="s">
        <v>774</v>
      </c>
      <c r="K81">
        <f>IF(AND(H81=OFICIAL!F6, I81=OFICIAL!G6), 5, 0)</f>
        <v>0</v>
      </c>
    </row>
    <row r="82" spans="1:11" x14ac:dyDescent="0.25">
      <c r="A82" t="s">
        <v>63</v>
      </c>
      <c r="B82" t="s">
        <v>89</v>
      </c>
      <c r="C82" t="s">
        <v>565</v>
      </c>
      <c r="D82" t="s">
        <v>15</v>
      </c>
      <c r="E82" t="s">
        <v>16</v>
      </c>
      <c r="F82" t="s">
        <v>17</v>
      </c>
      <c r="G82" t="s">
        <v>566</v>
      </c>
      <c r="H82">
        <v>1</v>
      </c>
      <c r="I82">
        <v>2</v>
      </c>
      <c r="J82" t="s">
        <v>776</v>
      </c>
      <c r="K82">
        <f>IF(AND(H82=OFICIAL!F7, I82=OFICIAL!G7), 5, 0)</f>
        <v>0</v>
      </c>
    </row>
    <row r="83" spans="1:11" x14ac:dyDescent="0.25">
      <c r="A83" t="s">
        <v>63</v>
      </c>
      <c r="B83" t="s">
        <v>89</v>
      </c>
      <c r="C83" t="s">
        <v>567</v>
      </c>
      <c r="D83" t="s">
        <v>15</v>
      </c>
      <c r="E83" t="s">
        <v>18</v>
      </c>
      <c r="F83" t="s">
        <v>19</v>
      </c>
      <c r="G83" t="s">
        <v>568</v>
      </c>
      <c r="H83">
        <v>0</v>
      </c>
      <c r="I83">
        <v>2</v>
      </c>
      <c r="J83" t="s">
        <v>776</v>
      </c>
      <c r="K83">
        <f>IF(AND(H83=OFICIAL!F8, I83=OFICIAL!G8), 5, 0)</f>
        <v>0</v>
      </c>
    </row>
    <row r="84" spans="1:11" x14ac:dyDescent="0.25">
      <c r="A84" t="s">
        <v>63</v>
      </c>
      <c r="B84" t="s">
        <v>89</v>
      </c>
      <c r="C84" t="s">
        <v>569</v>
      </c>
      <c r="D84" t="s">
        <v>10</v>
      </c>
      <c r="E84" t="s">
        <v>20</v>
      </c>
      <c r="F84" t="s">
        <v>21</v>
      </c>
      <c r="G84" t="s">
        <v>570</v>
      </c>
      <c r="H84">
        <v>0</v>
      </c>
      <c r="I84">
        <v>2</v>
      </c>
      <c r="J84" t="s">
        <v>775</v>
      </c>
      <c r="K84">
        <f>IF(AND(H84=OFICIAL!F9, I84=OFICIAL!G9), 5, 0)</f>
        <v>0</v>
      </c>
    </row>
    <row r="85" spans="1:11" x14ac:dyDescent="0.25">
      <c r="A85" t="s">
        <v>63</v>
      </c>
      <c r="B85" t="s">
        <v>89</v>
      </c>
      <c r="C85" t="s">
        <v>571</v>
      </c>
      <c r="D85" t="s">
        <v>22</v>
      </c>
      <c r="E85" t="s">
        <v>23</v>
      </c>
      <c r="F85" t="s">
        <v>24</v>
      </c>
      <c r="G85" t="s">
        <v>572</v>
      </c>
      <c r="H85">
        <v>5</v>
      </c>
      <c r="I85">
        <v>0</v>
      </c>
      <c r="J85" t="s">
        <v>777</v>
      </c>
      <c r="K85">
        <f>IF(AND(H85=OFICIAL!F10, I85=OFICIAL!G10), 5, 0)</f>
        <v>0</v>
      </c>
    </row>
    <row r="86" spans="1:11" x14ac:dyDescent="0.25">
      <c r="A86" t="s">
        <v>63</v>
      </c>
      <c r="B86" t="s">
        <v>89</v>
      </c>
      <c r="C86" t="s">
        <v>573</v>
      </c>
      <c r="D86" t="s">
        <v>25</v>
      </c>
      <c r="E86" t="s">
        <v>26</v>
      </c>
      <c r="F86" t="s">
        <v>27</v>
      </c>
      <c r="G86" t="s">
        <v>574</v>
      </c>
      <c r="H86">
        <v>3</v>
      </c>
      <c r="I86">
        <v>1</v>
      </c>
      <c r="J86" t="s">
        <v>778</v>
      </c>
      <c r="K86">
        <f>IF(AND(H86=OFICIAL!F11, I86=OFICIAL!G11), 5, 0)</f>
        <v>0</v>
      </c>
    </row>
    <row r="87" spans="1:11" x14ac:dyDescent="0.25">
      <c r="A87" t="s">
        <v>63</v>
      </c>
      <c r="B87" t="s">
        <v>89</v>
      </c>
      <c r="C87" t="s">
        <v>575</v>
      </c>
      <c r="D87" t="s">
        <v>22</v>
      </c>
      <c r="E87" t="s">
        <v>28</v>
      </c>
      <c r="F87" t="s">
        <v>29</v>
      </c>
      <c r="G87" t="s">
        <v>576</v>
      </c>
      <c r="H87">
        <v>2</v>
      </c>
      <c r="I87">
        <v>1</v>
      </c>
      <c r="J87" t="s">
        <v>777</v>
      </c>
      <c r="K87">
        <f>IF(AND(H87=OFICIAL!F12, I87=OFICIAL!G12), 5, 0)</f>
        <v>0</v>
      </c>
    </row>
    <row r="88" spans="1:11" x14ac:dyDescent="0.25">
      <c r="A88" t="s">
        <v>63</v>
      </c>
      <c r="B88" t="s">
        <v>89</v>
      </c>
      <c r="C88" t="s">
        <v>577</v>
      </c>
      <c r="D88" t="s">
        <v>25</v>
      </c>
      <c r="E88" t="s">
        <v>30</v>
      </c>
      <c r="F88" t="s">
        <v>31</v>
      </c>
      <c r="G88" t="s">
        <v>578</v>
      </c>
      <c r="H88">
        <v>2</v>
      </c>
      <c r="I88">
        <v>0</v>
      </c>
      <c r="J88" t="s">
        <v>778</v>
      </c>
      <c r="K88">
        <f>IF(AND(H88=OFICIAL!F13, I88=OFICIAL!G13), 5, 0)</f>
        <v>0</v>
      </c>
    </row>
    <row r="89" spans="1:11" x14ac:dyDescent="0.25">
      <c r="A89" t="s">
        <v>63</v>
      </c>
      <c r="B89" t="s">
        <v>89</v>
      </c>
      <c r="C89" t="s">
        <v>579</v>
      </c>
      <c r="D89" t="s">
        <v>32</v>
      </c>
      <c r="E89" t="s">
        <v>33</v>
      </c>
      <c r="F89" t="s">
        <v>34</v>
      </c>
      <c r="G89" t="s">
        <v>580</v>
      </c>
      <c r="H89">
        <v>2</v>
      </c>
      <c r="I89">
        <v>0</v>
      </c>
      <c r="J89" t="s">
        <v>779</v>
      </c>
      <c r="K89">
        <f>IF(AND(H89=OFICIAL!F14, I89=OFICIAL!G14), 5, 0)</f>
        <v>0</v>
      </c>
    </row>
    <row r="90" spans="1:11" x14ac:dyDescent="0.25">
      <c r="A90" t="s">
        <v>63</v>
      </c>
      <c r="B90" t="s">
        <v>89</v>
      </c>
      <c r="C90" t="s">
        <v>581</v>
      </c>
      <c r="D90" t="s">
        <v>35</v>
      </c>
      <c r="E90" t="s">
        <v>36</v>
      </c>
      <c r="F90" t="s">
        <v>37</v>
      </c>
      <c r="G90" t="s">
        <v>582</v>
      </c>
      <c r="H90">
        <v>1</v>
      </c>
      <c r="I90">
        <v>1</v>
      </c>
      <c r="J90" t="s">
        <v>780</v>
      </c>
      <c r="K90">
        <f>IF(AND(H90=OFICIAL!F15, I90=OFICIAL!G15), 5, 0)</f>
        <v>5</v>
      </c>
    </row>
    <row r="91" spans="1:11" x14ac:dyDescent="0.25">
      <c r="A91" t="s">
        <v>63</v>
      </c>
      <c r="B91" t="s">
        <v>89</v>
      </c>
      <c r="C91" t="s">
        <v>583</v>
      </c>
      <c r="D91" t="s">
        <v>32</v>
      </c>
      <c r="E91" t="s">
        <v>38</v>
      </c>
      <c r="F91" t="s">
        <v>39</v>
      </c>
      <c r="G91" t="s">
        <v>584</v>
      </c>
      <c r="H91">
        <v>1</v>
      </c>
      <c r="I91">
        <v>2</v>
      </c>
      <c r="J91" t="s">
        <v>779</v>
      </c>
      <c r="K91">
        <f>IF(AND(H91=OFICIAL!F16, I91=OFICIAL!G16), 5, 0)</f>
        <v>0</v>
      </c>
    </row>
    <row r="92" spans="1:11" x14ac:dyDescent="0.25">
      <c r="A92" t="s">
        <v>63</v>
      </c>
      <c r="B92" t="s">
        <v>89</v>
      </c>
      <c r="C92" t="s">
        <v>585</v>
      </c>
      <c r="D92" t="s">
        <v>35</v>
      </c>
      <c r="E92" t="s">
        <v>40</v>
      </c>
      <c r="F92" t="s">
        <v>41</v>
      </c>
      <c r="G92" t="s">
        <v>586</v>
      </c>
      <c r="H92">
        <v>1</v>
      </c>
      <c r="I92">
        <v>1</v>
      </c>
      <c r="J92" t="s">
        <v>780</v>
      </c>
      <c r="K92">
        <f>IF(AND(H92=OFICIAL!F17, I92=OFICIAL!G17), 5, 0)</f>
        <v>0</v>
      </c>
    </row>
    <row r="93" spans="1:11" x14ac:dyDescent="0.25">
      <c r="A93" t="s">
        <v>63</v>
      </c>
      <c r="B93" t="s">
        <v>89</v>
      </c>
      <c r="C93" t="s">
        <v>587</v>
      </c>
      <c r="D93" t="s">
        <v>42</v>
      </c>
      <c r="E93" t="s">
        <v>43</v>
      </c>
      <c r="F93" t="s">
        <v>44</v>
      </c>
      <c r="G93" t="s">
        <v>588</v>
      </c>
      <c r="H93">
        <v>2</v>
      </c>
      <c r="I93">
        <v>0</v>
      </c>
      <c r="J93" t="s">
        <v>781</v>
      </c>
      <c r="K93">
        <f>IF(AND(H93=OFICIAL!F18, I93=OFICIAL!G18), 5, 0)</f>
        <v>0</v>
      </c>
    </row>
    <row r="94" spans="1:11" x14ac:dyDescent="0.25">
      <c r="A94" t="s">
        <v>63</v>
      </c>
      <c r="B94" t="s">
        <v>89</v>
      </c>
      <c r="C94" t="s">
        <v>589</v>
      </c>
      <c r="D94" t="s">
        <v>42</v>
      </c>
      <c r="E94" t="s">
        <v>45</v>
      </c>
      <c r="F94" t="s">
        <v>46</v>
      </c>
      <c r="G94" t="s">
        <v>590</v>
      </c>
      <c r="H94">
        <v>0</v>
      </c>
      <c r="I94">
        <v>2</v>
      </c>
      <c r="J94" t="s">
        <v>781</v>
      </c>
      <c r="K94">
        <f>IF(AND(H94=OFICIAL!F19, I94=OFICIAL!G19), 5, 0)</f>
        <v>0</v>
      </c>
    </row>
    <row r="95" spans="1:11" x14ac:dyDescent="0.25">
      <c r="A95" t="s">
        <v>63</v>
      </c>
      <c r="B95" t="s">
        <v>89</v>
      </c>
      <c r="C95" t="s">
        <v>591</v>
      </c>
      <c r="D95" t="s">
        <v>47</v>
      </c>
      <c r="E95" t="s">
        <v>48</v>
      </c>
      <c r="F95" t="s">
        <v>49</v>
      </c>
      <c r="G95" t="s">
        <v>592</v>
      </c>
      <c r="H95">
        <v>3</v>
      </c>
      <c r="I95">
        <v>0</v>
      </c>
      <c r="J95" t="s">
        <v>782</v>
      </c>
      <c r="K95">
        <f>IF(AND(H95=OFICIAL!F20, I95=OFICIAL!G20), 5, 0)</f>
        <v>5</v>
      </c>
    </row>
    <row r="96" spans="1:11" x14ac:dyDescent="0.25">
      <c r="A96" t="s">
        <v>63</v>
      </c>
      <c r="B96" t="s">
        <v>89</v>
      </c>
      <c r="C96" t="s">
        <v>593</v>
      </c>
      <c r="D96" t="s">
        <v>47</v>
      </c>
      <c r="E96" t="s">
        <v>50</v>
      </c>
      <c r="F96" t="s">
        <v>51</v>
      </c>
      <c r="G96" t="s">
        <v>594</v>
      </c>
      <c r="H96">
        <v>2</v>
      </c>
      <c r="I96">
        <v>0</v>
      </c>
      <c r="J96" t="s">
        <v>782</v>
      </c>
      <c r="K96">
        <f>IF(AND(H96=OFICIAL!F21, I96=OFICIAL!G21), 5, 0)</f>
        <v>0</v>
      </c>
    </row>
    <row r="97" spans="1:11" x14ac:dyDescent="0.25">
      <c r="A97" t="s">
        <v>63</v>
      </c>
      <c r="B97" t="s">
        <v>89</v>
      </c>
      <c r="C97" t="s">
        <v>595</v>
      </c>
      <c r="D97" t="s">
        <v>52</v>
      </c>
      <c r="E97" t="s">
        <v>53</v>
      </c>
      <c r="F97" t="s">
        <v>54</v>
      </c>
      <c r="G97" t="s">
        <v>596</v>
      </c>
      <c r="H97">
        <v>3</v>
      </c>
      <c r="I97">
        <v>0</v>
      </c>
      <c r="J97" t="s">
        <v>783</v>
      </c>
      <c r="K97">
        <f>IF(AND(H97=OFICIAL!F22, I97=OFICIAL!G22), 5, 0)</f>
        <v>0</v>
      </c>
    </row>
    <row r="98" spans="1:11" x14ac:dyDescent="0.25">
      <c r="A98" t="s">
        <v>63</v>
      </c>
      <c r="B98" t="s">
        <v>89</v>
      </c>
      <c r="C98" t="s">
        <v>597</v>
      </c>
      <c r="D98" t="s">
        <v>55</v>
      </c>
      <c r="E98" t="s">
        <v>56</v>
      </c>
      <c r="F98" t="s">
        <v>57</v>
      </c>
      <c r="G98" t="s">
        <v>598</v>
      </c>
      <c r="H98">
        <v>1</v>
      </c>
      <c r="I98">
        <v>1</v>
      </c>
      <c r="J98" t="s">
        <v>784</v>
      </c>
      <c r="K98">
        <f>IF(AND(H98=OFICIAL!F23, I98=OFICIAL!G23), 5, 0)</f>
        <v>0</v>
      </c>
    </row>
    <row r="99" spans="1:11" x14ac:dyDescent="0.25">
      <c r="A99" t="s">
        <v>63</v>
      </c>
      <c r="B99" t="s">
        <v>89</v>
      </c>
      <c r="C99" t="s">
        <v>599</v>
      </c>
      <c r="D99" t="s">
        <v>55</v>
      </c>
      <c r="E99" t="s">
        <v>58</v>
      </c>
      <c r="F99" t="s">
        <v>59</v>
      </c>
      <c r="G99" t="s">
        <v>600</v>
      </c>
      <c r="H99">
        <v>2</v>
      </c>
      <c r="I99">
        <v>0</v>
      </c>
      <c r="J99" t="s">
        <v>784</v>
      </c>
      <c r="K99">
        <f>IF(AND(H99=OFICIAL!F24, I99=OFICIAL!G24), 5, 0)</f>
        <v>0</v>
      </c>
    </row>
    <row r="100" spans="1:11" x14ac:dyDescent="0.25">
      <c r="A100" t="s">
        <v>63</v>
      </c>
      <c r="B100" t="s">
        <v>89</v>
      </c>
      <c r="C100" t="s">
        <v>601</v>
      </c>
      <c r="D100" t="s">
        <v>52</v>
      </c>
      <c r="E100" t="s">
        <v>60</v>
      </c>
      <c r="F100" t="s">
        <v>61</v>
      </c>
      <c r="G100" t="s">
        <v>602</v>
      </c>
      <c r="H100">
        <v>1</v>
      </c>
      <c r="I100">
        <v>3</v>
      </c>
      <c r="J100" t="s">
        <v>783</v>
      </c>
      <c r="K100">
        <f>IF(AND(H100=OFICIAL!F25, I100=OFICIAL!G25), 5, 0)</f>
        <v>5</v>
      </c>
    </row>
    <row r="101" spans="1:11" x14ac:dyDescent="0.25">
      <c r="A101" t="s">
        <v>63</v>
      </c>
      <c r="B101" t="s">
        <v>89</v>
      </c>
      <c r="C101" t="s">
        <v>603</v>
      </c>
      <c r="D101" t="s">
        <v>2</v>
      </c>
      <c r="E101" t="s">
        <v>4</v>
      </c>
      <c r="F101" t="s">
        <v>6</v>
      </c>
      <c r="G101" t="s">
        <v>604</v>
      </c>
      <c r="H101">
        <v>1</v>
      </c>
      <c r="I101">
        <v>1</v>
      </c>
      <c r="J101" t="s">
        <v>773</v>
      </c>
      <c r="K101">
        <f>IF(AND(H101=OFICIAL!F26, I101=OFICIAL!G26), 5, 0)</f>
        <v>5</v>
      </c>
    </row>
    <row r="102" spans="1:11" x14ac:dyDescent="0.25">
      <c r="A102" t="s">
        <v>63</v>
      </c>
      <c r="B102" t="s">
        <v>89</v>
      </c>
      <c r="C102" t="s">
        <v>605</v>
      </c>
      <c r="D102" t="s">
        <v>7</v>
      </c>
      <c r="E102" t="s">
        <v>9</v>
      </c>
      <c r="F102" t="s">
        <v>14</v>
      </c>
      <c r="G102" t="s">
        <v>606</v>
      </c>
      <c r="H102">
        <v>1</v>
      </c>
      <c r="I102">
        <v>2</v>
      </c>
      <c r="J102" t="s">
        <v>774</v>
      </c>
      <c r="K102">
        <f>IF(AND(H102=OFICIAL!F27, I102=OFICIAL!G27), 5, 0)</f>
        <v>0</v>
      </c>
    </row>
    <row r="103" spans="1:11" x14ac:dyDescent="0.25">
      <c r="A103" t="s">
        <v>63</v>
      </c>
      <c r="B103" t="s">
        <v>89</v>
      </c>
      <c r="C103" t="s">
        <v>607</v>
      </c>
      <c r="D103" t="s">
        <v>7</v>
      </c>
      <c r="E103" t="s">
        <v>8</v>
      </c>
      <c r="F103" t="s">
        <v>13</v>
      </c>
      <c r="G103" t="s">
        <v>608</v>
      </c>
      <c r="H103">
        <v>1</v>
      </c>
      <c r="I103">
        <v>0</v>
      </c>
      <c r="J103" t="s">
        <v>774</v>
      </c>
      <c r="K103">
        <f>IF(AND(H103=OFICIAL!F28, I103=OFICIAL!G28), 5, 0)</f>
        <v>0</v>
      </c>
    </row>
    <row r="104" spans="1:11" x14ac:dyDescent="0.25">
      <c r="A104" t="s">
        <v>63</v>
      </c>
      <c r="B104" t="s">
        <v>89</v>
      </c>
      <c r="C104" t="s">
        <v>609</v>
      </c>
      <c r="D104" t="s">
        <v>2</v>
      </c>
      <c r="E104" t="s">
        <v>3</v>
      </c>
      <c r="F104" t="s">
        <v>5</v>
      </c>
      <c r="G104" t="s">
        <v>610</v>
      </c>
      <c r="H104">
        <v>2</v>
      </c>
      <c r="I104">
        <v>0</v>
      </c>
      <c r="J104" t="s">
        <v>773</v>
      </c>
      <c r="K104">
        <f>IF(AND(H104=OFICIAL!F29, I104=OFICIAL!G29), 5, 0)</f>
        <v>0</v>
      </c>
    </row>
    <row r="105" spans="1:11" x14ac:dyDescent="0.25">
      <c r="A105" t="s">
        <v>63</v>
      </c>
      <c r="B105" t="s">
        <v>89</v>
      </c>
      <c r="C105" t="s">
        <v>611</v>
      </c>
      <c r="D105" t="s">
        <v>10</v>
      </c>
      <c r="E105" t="s">
        <v>11</v>
      </c>
      <c r="F105" t="s">
        <v>20</v>
      </c>
      <c r="G105" t="s">
        <v>612</v>
      </c>
      <c r="H105">
        <v>2</v>
      </c>
      <c r="I105">
        <v>2</v>
      </c>
      <c r="J105" t="s">
        <v>775</v>
      </c>
      <c r="K105">
        <f>IF(AND(H105=OFICIAL!F30, I105=OFICIAL!G30), 5, 0)</f>
        <v>0</v>
      </c>
    </row>
    <row r="106" spans="1:11" x14ac:dyDescent="0.25">
      <c r="A106" t="s">
        <v>63</v>
      </c>
      <c r="B106" t="s">
        <v>89</v>
      </c>
      <c r="C106" t="s">
        <v>613</v>
      </c>
      <c r="D106" t="s">
        <v>15</v>
      </c>
      <c r="E106" t="s">
        <v>17</v>
      </c>
      <c r="F106" t="s">
        <v>19</v>
      </c>
      <c r="G106" t="s">
        <v>614</v>
      </c>
      <c r="H106">
        <v>2</v>
      </c>
      <c r="I106">
        <v>0</v>
      </c>
      <c r="J106" t="s">
        <v>776</v>
      </c>
      <c r="K106">
        <f>IF(AND(H106=OFICIAL!F31, I106=OFICIAL!G31), 5, 0)</f>
        <v>0</v>
      </c>
    </row>
    <row r="107" spans="1:11" x14ac:dyDescent="0.25">
      <c r="A107" t="s">
        <v>63</v>
      </c>
      <c r="B107" t="s">
        <v>89</v>
      </c>
      <c r="C107" t="s">
        <v>615</v>
      </c>
      <c r="D107" t="s">
        <v>15</v>
      </c>
      <c r="E107" t="s">
        <v>16</v>
      </c>
      <c r="F107" t="s">
        <v>18</v>
      </c>
      <c r="G107" t="s">
        <v>616</v>
      </c>
      <c r="H107">
        <v>6</v>
      </c>
      <c r="I107">
        <v>1</v>
      </c>
      <c r="J107" t="s">
        <v>776</v>
      </c>
      <c r="K107">
        <f>IF(AND(H107=OFICIAL!F32, I107=OFICIAL!G32), 5, 0)</f>
        <v>0</v>
      </c>
    </row>
    <row r="108" spans="1:11" x14ac:dyDescent="0.25">
      <c r="A108" t="s">
        <v>63</v>
      </c>
      <c r="B108" t="s">
        <v>89</v>
      </c>
      <c r="C108" t="s">
        <v>617</v>
      </c>
      <c r="D108" t="s">
        <v>10</v>
      </c>
      <c r="E108" t="s">
        <v>12</v>
      </c>
      <c r="F108" t="s">
        <v>21</v>
      </c>
      <c r="G108" t="s">
        <v>618</v>
      </c>
      <c r="H108">
        <v>1</v>
      </c>
      <c r="I108">
        <v>3</v>
      </c>
      <c r="J108" t="s">
        <v>775</v>
      </c>
      <c r="K108">
        <f>IF(AND(H108=OFICIAL!F33, I108=OFICIAL!G33), 5, 0)</f>
        <v>0</v>
      </c>
    </row>
    <row r="109" spans="1:11" x14ac:dyDescent="0.25">
      <c r="A109" t="s">
        <v>63</v>
      </c>
      <c r="B109" t="s">
        <v>89</v>
      </c>
      <c r="C109" t="s">
        <v>619</v>
      </c>
      <c r="D109" t="s">
        <v>25</v>
      </c>
      <c r="E109" t="s">
        <v>26</v>
      </c>
      <c r="F109" t="s">
        <v>30</v>
      </c>
      <c r="G109" t="s">
        <v>620</v>
      </c>
      <c r="H109">
        <v>2</v>
      </c>
      <c r="I109">
        <v>1</v>
      </c>
      <c r="J109" t="s">
        <v>778</v>
      </c>
      <c r="K109">
        <f>IF(AND(H109=OFICIAL!F34, I109=OFICIAL!G34), 5, 0)</f>
        <v>0</v>
      </c>
    </row>
    <row r="110" spans="1:11" x14ac:dyDescent="0.25">
      <c r="A110" t="s">
        <v>63</v>
      </c>
      <c r="B110" t="s">
        <v>89</v>
      </c>
      <c r="C110" t="s">
        <v>623</v>
      </c>
      <c r="D110" t="s">
        <v>22</v>
      </c>
      <c r="E110" t="s">
        <v>23</v>
      </c>
      <c r="F110" t="s">
        <v>28</v>
      </c>
      <c r="G110" t="s">
        <v>624</v>
      </c>
      <c r="H110">
        <v>3</v>
      </c>
      <c r="I110">
        <v>0</v>
      </c>
      <c r="J110" t="s">
        <v>777</v>
      </c>
      <c r="K110">
        <f>IF(AND(H110=OFICIAL!F35, I110=OFICIAL!G35), 5, 0)</f>
        <v>0</v>
      </c>
    </row>
    <row r="111" spans="1:11" x14ac:dyDescent="0.25">
      <c r="A111" t="s">
        <v>63</v>
      </c>
      <c r="B111" t="s">
        <v>89</v>
      </c>
      <c r="C111" t="s">
        <v>625</v>
      </c>
      <c r="D111" t="s">
        <v>22</v>
      </c>
      <c r="E111" t="s">
        <v>24</v>
      </c>
      <c r="F111" t="s">
        <v>29</v>
      </c>
      <c r="G111" t="s">
        <v>626</v>
      </c>
      <c r="H111">
        <v>0</v>
      </c>
      <c r="I111">
        <v>2</v>
      </c>
      <c r="J111" t="s">
        <v>777</v>
      </c>
      <c r="K111">
        <f>IF(AND(H111=OFICIAL!F36, I111=OFICIAL!G36), 5, 0)</f>
        <v>0</v>
      </c>
    </row>
    <row r="112" spans="1:11" x14ac:dyDescent="0.25">
      <c r="A112" t="s">
        <v>63</v>
      </c>
      <c r="B112" t="s">
        <v>89</v>
      </c>
      <c r="C112" t="s">
        <v>627</v>
      </c>
      <c r="D112" t="s">
        <v>25</v>
      </c>
      <c r="E112" t="s">
        <v>27</v>
      </c>
      <c r="F112" t="s">
        <v>31</v>
      </c>
      <c r="G112" t="s">
        <v>628</v>
      </c>
      <c r="H112">
        <v>3</v>
      </c>
      <c r="I112">
        <v>0</v>
      </c>
      <c r="J112" t="s">
        <v>778</v>
      </c>
      <c r="K112">
        <f>IF(AND(H112=OFICIAL!F37, I112=OFICIAL!G37), 5, 0)</f>
        <v>0</v>
      </c>
    </row>
    <row r="113" spans="1:11" x14ac:dyDescent="0.25">
      <c r="A113" t="s">
        <v>63</v>
      </c>
      <c r="B113" t="s">
        <v>89</v>
      </c>
      <c r="C113" t="s">
        <v>629</v>
      </c>
      <c r="D113" t="s">
        <v>32</v>
      </c>
      <c r="E113" t="s">
        <v>33</v>
      </c>
      <c r="F113" t="s">
        <v>38</v>
      </c>
      <c r="G113" t="s">
        <v>630</v>
      </c>
      <c r="H113">
        <v>3</v>
      </c>
      <c r="I113">
        <v>1</v>
      </c>
      <c r="J113" t="s">
        <v>779</v>
      </c>
      <c r="K113">
        <f>IF(AND(H113=OFICIAL!F38, I113=OFICIAL!G38), 5, 0)</f>
        <v>0</v>
      </c>
    </row>
    <row r="114" spans="1:11" x14ac:dyDescent="0.25">
      <c r="A114" t="s">
        <v>63</v>
      </c>
      <c r="B114" t="s">
        <v>89</v>
      </c>
      <c r="C114" t="s">
        <v>631</v>
      </c>
      <c r="D114" t="s">
        <v>35</v>
      </c>
      <c r="E114" t="s">
        <v>36</v>
      </c>
      <c r="F114" t="s">
        <v>40</v>
      </c>
      <c r="G114" t="s">
        <v>632</v>
      </c>
      <c r="H114">
        <v>3</v>
      </c>
      <c r="I114">
        <v>0</v>
      </c>
      <c r="J114" t="s">
        <v>780</v>
      </c>
      <c r="K114">
        <f>IF(AND(H114=OFICIAL!F39, I114=OFICIAL!G39), 5, 0)</f>
        <v>0</v>
      </c>
    </row>
    <row r="115" spans="1:11" x14ac:dyDescent="0.25">
      <c r="A115" t="s">
        <v>63</v>
      </c>
      <c r="B115" t="s">
        <v>89</v>
      </c>
      <c r="C115" s="4" t="s">
        <v>633</v>
      </c>
      <c r="D115" t="s">
        <v>32</v>
      </c>
      <c r="E115" t="s">
        <v>34</v>
      </c>
      <c r="F115" t="s">
        <v>39</v>
      </c>
      <c r="G115" t="s">
        <v>634</v>
      </c>
      <c r="H115">
        <v>0</v>
      </c>
      <c r="I115">
        <v>2</v>
      </c>
      <c r="J115" t="s">
        <v>779</v>
      </c>
      <c r="K115">
        <f>IF(AND(H115=OFICIAL!F40, I115=OFICIAL!G40), 5, 0)</f>
        <v>0</v>
      </c>
    </row>
    <row r="116" spans="1:11" x14ac:dyDescent="0.25">
      <c r="A116" t="s">
        <v>63</v>
      </c>
      <c r="B116" t="s">
        <v>89</v>
      </c>
      <c r="C116" t="s">
        <v>635</v>
      </c>
      <c r="D116" t="s">
        <v>35</v>
      </c>
      <c r="E116" t="s">
        <v>37</v>
      </c>
      <c r="F116" t="s">
        <v>41</v>
      </c>
      <c r="G116" t="s">
        <v>636</v>
      </c>
      <c r="H116">
        <v>2</v>
      </c>
      <c r="I116">
        <v>0</v>
      </c>
      <c r="J116" t="s">
        <v>780</v>
      </c>
      <c r="K116">
        <f>IF(AND(H116=OFICIAL!F41, I116=OFICIAL!G41), 5, 0)</f>
        <v>0</v>
      </c>
    </row>
    <row r="117" spans="1:11" x14ac:dyDescent="0.25">
      <c r="A117" t="s">
        <v>63</v>
      </c>
      <c r="B117" t="s">
        <v>89</v>
      </c>
      <c r="C117" s="4" t="s">
        <v>637</v>
      </c>
      <c r="D117" t="s">
        <v>47</v>
      </c>
      <c r="E117" t="s">
        <v>48</v>
      </c>
      <c r="F117" t="s">
        <v>50</v>
      </c>
      <c r="G117" t="s">
        <v>638</v>
      </c>
      <c r="H117">
        <v>2</v>
      </c>
      <c r="I117">
        <v>1</v>
      </c>
      <c r="J117" t="s">
        <v>782</v>
      </c>
      <c r="K117">
        <f>IF(AND(H117=OFICIAL!F42, I117=OFICIAL!G42), 5, 0)</f>
        <v>0</v>
      </c>
    </row>
    <row r="118" spans="1:11" x14ac:dyDescent="0.25">
      <c r="A118" t="s">
        <v>63</v>
      </c>
      <c r="B118" t="s">
        <v>89</v>
      </c>
      <c r="C118" t="s">
        <v>639</v>
      </c>
      <c r="D118" t="s">
        <v>42</v>
      </c>
      <c r="E118" t="s">
        <v>43</v>
      </c>
      <c r="F118" t="s">
        <v>45</v>
      </c>
      <c r="G118" t="s">
        <v>640</v>
      </c>
      <c r="H118">
        <v>4</v>
      </c>
      <c r="I118">
        <v>0</v>
      </c>
      <c r="J118" t="s">
        <v>781</v>
      </c>
      <c r="K118">
        <f>IF(AND(H118=OFICIAL!F43, I118=OFICIAL!G43), 5, 0)</f>
        <v>0</v>
      </c>
    </row>
    <row r="119" spans="1:11" x14ac:dyDescent="0.25">
      <c r="A119" t="s">
        <v>63</v>
      </c>
      <c r="B119" t="s">
        <v>89</v>
      </c>
      <c r="C119" t="s">
        <v>641</v>
      </c>
      <c r="D119" t="s">
        <v>42</v>
      </c>
      <c r="E119" t="s">
        <v>44</v>
      </c>
      <c r="F119" t="s">
        <v>46</v>
      </c>
      <c r="G119" t="s">
        <v>642</v>
      </c>
      <c r="H119">
        <v>1</v>
      </c>
      <c r="I119">
        <v>1</v>
      </c>
      <c r="J119" t="s">
        <v>781</v>
      </c>
      <c r="K119">
        <f>IF(AND(H119=OFICIAL!F44, I119=OFICIAL!G44), 5, 0)</f>
        <v>0</v>
      </c>
    </row>
    <row r="120" spans="1:11" x14ac:dyDescent="0.25">
      <c r="A120" t="s">
        <v>63</v>
      </c>
      <c r="B120" t="s">
        <v>89</v>
      </c>
      <c r="C120" t="s">
        <v>643</v>
      </c>
      <c r="D120" t="s">
        <v>47</v>
      </c>
      <c r="E120" t="s">
        <v>49</v>
      </c>
      <c r="F120" t="s">
        <v>51</v>
      </c>
      <c r="G120" t="s">
        <v>644</v>
      </c>
      <c r="H120">
        <v>1</v>
      </c>
      <c r="I120">
        <v>1</v>
      </c>
      <c r="J120" t="s">
        <v>782</v>
      </c>
      <c r="K120">
        <f>IF(AND(H120=OFICIAL!F45, I120=OFICIAL!G45), 5, 0)</f>
        <v>0</v>
      </c>
    </row>
    <row r="121" spans="1:11" x14ac:dyDescent="0.25">
      <c r="A121" t="s">
        <v>63</v>
      </c>
      <c r="B121" t="s">
        <v>89</v>
      </c>
      <c r="C121" t="s">
        <v>645</v>
      </c>
      <c r="D121" t="s">
        <v>52</v>
      </c>
      <c r="E121" t="s">
        <v>53</v>
      </c>
      <c r="F121" t="s">
        <v>60</v>
      </c>
      <c r="G121" t="s">
        <v>646</v>
      </c>
      <c r="H121">
        <v>2</v>
      </c>
      <c r="I121">
        <v>0</v>
      </c>
      <c r="J121" t="s">
        <v>783</v>
      </c>
      <c r="K121">
        <f>IF(AND(H121=OFICIAL!F46, I121=OFICIAL!G46), 5, 0)</f>
        <v>0</v>
      </c>
    </row>
    <row r="122" spans="1:11" x14ac:dyDescent="0.25">
      <c r="A122" t="s">
        <v>63</v>
      </c>
      <c r="B122" t="s">
        <v>89</v>
      </c>
      <c r="C122" t="s">
        <v>647</v>
      </c>
      <c r="D122" t="s">
        <v>55</v>
      </c>
      <c r="E122" t="s">
        <v>56</v>
      </c>
      <c r="F122" t="s">
        <v>58</v>
      </c>
      <c r="G122" t="s">
        <v>648</v>
      </c>
      <c r="H122">
        <v>2</v>
      </c>
      <c r="I122">
        <v>1</v>
      </c>
      <c r="J122" t="s">
        <v>784</v>
      </c>
      <c r="K122">
        <f>IF(AND(H122=OFICIAL!F47, I122=OFICIAL!G47), 5, 0)</f>
        <v>0</v>
      </c>
    </row>
    <row r="123" spans="1:11" x14ac:dyDescent="0.25">
      <c r="A123" t="s">
        <v>63</v>
      </c>
      <c r="B123" t="s">
        <v>89</v>
      </c>
      <c r="C123" t="s">
        <v>649</v>
      </c>
      <c r="D123" t="s">
        <v>55</v>
      </c>
      <c r="E123" t="s">
        <v>57</v>
      </c>
      <c r="F123" t="s">
        <v>59</v>
      </c>
      <c r="G123" t="s">
        <v>650</v>
      </c>
      <c r="H123">
        <v>2</v>
      </c>
      <c r="I123">
        <v>0</v>
      </c>
      <c r="J123" t="s">
        <v>784</v>
      </c>
      <c r="K123">
        <f>IF(AND(H123=OFICIAL!F48, I123=OFICIAL!G48), 5, 0)</f>
        <v>0</v>
      </c>
    </row>
    <row r="124" spans="1:11" x14ac:dyDescent="0.25">
      <c r="A124" t="s">
        <v>63</v>
      </c>
      <c r="B124" t="s">
        <v>89</v>
      </c>
      <c r="C124" t="s">
        <v>651</v>
      </c>
      <c r="D124" t="s">
        <v>52</v>
      </c>
      <c r="E124" t="s">
        <v>54</v>
      </c>
      <c r="F124" t="s">
        <v>61</v>
      </c>
      <c r="G124" t="s">
        <v>652</v>
      </c>
      <c r="H124">
        <v>1</v>
      </c>
      <c r="I124">
        <v>3</v>
      </c>
      <c r="J124" t="s">
        <v>783</v>
      </c>
      <c r="K124">
        <f>IF(AND(H124=OFICIAL!F49, I124=OFICIAL!G49), 5, 0)</f>
        <v>0</v>
      </c>
    </row>
    <row r="125" spans="1:11" x14ac:dyDescent="0.25">
      <c r="A125" t="s">
        <v>63</v>
      </c>
      <c r="B125" t="s">
        <v>89</v>
      </c>
      <c r="C125" t="s">
        <v>653</v>
      </c>
      <c r="D125" t="s">
        <v>7</v>
      </c>
      <c r="E125" t="s">
        <v>14</v>
      </c>
      <c r="F125" t="s">
        <v>8</v>
      </c>
      <c r="G125" t="s">
        <v>654</v>
      </c>
      <c r="H125">
        <v>2</v>
      </c>
      <c r="I125">
        <v>2</v>
      </c>
      <c r="J125" t="s">
        <v>774</v>
      </c>
      <c r="K125">
        <f>IF(AND(H125=OFICIAL!F50, I125=OFICIAL!G50), 5, 0)</f>
        <v>0</v>
      </c>
    </row>
    <row r="126" spans="1:11" x14ac:dyDescent="0.25">
      <c r="A126" t="s">
        <v>63</v>
      </c>
      <c r="B126" t="s">
        <v>89</v>
      </c>
      <c r="C126" t="s">
        <v>655</v>
      </c>
      <c r="D126" t="s">
        <v>7</v>
      </c>
      <c r="E126" t="s">
        <v>9</v>
      </c>
      <c r="F126" t="s">
        <v>13</v>
      </c>
      <c r="G126" t="s">
        <v>654</v>
      </c>
      <c r="H126">
        <v>1</v>
      </c>
      <c r="I126">
        <v>2</v>
      </c>
      <c r="J126" t="s">
        <v>774</v>
      </c>
      <c r="K126">
        <f>IF(AND(H126=OFICIAL!F51, I126=OFICIAL!G51), 5, 0)</f>
        <v>0</v>
      </c>
    </row>
    <row r="127" spans="1:11" x14ac:dyDescent="0.25">
      <c r="A127" t="s">
        <v>63</v>
      </c>
      <c r="B127" t="s">
        <v>89</v>
      </c>
      <c r="C127" t="s">
        <v>658</v>
      </c>
      <c r="D127" t="s">
        <v>15</v>
      </c>
      <c r="E127" t="s">
        <v>17</v>
      </c>
      <c r="F127" t="s">
        <v>18</v>
      </c>
      <c r="G127" t="s">
        <v>657</v>
      </c>
      <c r="H127">
        <v>5</v>
      </c>
      <c r="I127">
        <v>0</v>
      </c>
      <c r="J127" t="s">
        <v>776</v>
      </c>
      <c r="K127">
        <f>IF(AND(H127=OFICIAL!F52, I127=OFICIAL!G52), 5, 0)</f>
        <v>0</v>
      </c>
    </row>
    <row r="128" spans="1:11" x14ac:dyDescent="0.25">
      <c r="A128" t="s">
        <v>63</v>
      </c>
      <c r="B128" t="s">
        <v>89</v>
      </c>
      <c r="C128" t="s">
        <v>656</v>
      </c>
      <c r="D128" t="s">
        <v>15</v>
      </c>
      <c r="E128" t="s">
        <v>19</v>
      </c>
      <c r="F128" t="s">
        <v>16</v>
      </c>
      <c r="G128" t="s">
        <v>657</v>
      </c>
      <c r="H128">
        <v>1</v>
      </c>
      <c r="I128">
        <v>3</v>
      </c>
      <c r="J128" t="s">
        <v>776</v>
      </c>
      <c r="K128">
        <f>IF(AND(H128=OFICIAL!F53, I128=OFICIAL!G53), 5, 0)</f>
        <v>0</v>
      </c>
    </row>
    <row r="129" spans="1:11" x14ac:dyDescent="0.25">
      <c r="A129" t="s">
        <v>63</v>
      </c>
      <c r="B129" t="s">
        <v>89</v>
      </c>
      <c r="C129" t="s">
        <v>659</v>
      </c>
      <c r="D129" t="s">
        <v>2</v>
      </c>
      <c r="E129" t="s">
        <v>5</v>
      </c>
      <c r="F129" t="s">
        <v>4</v>
      </c>
      <c r="G129" t="s">
        <v>660</v>
      </c>
      <c r="H129">
        <v>0</v>
      </c>
      <c r="I129">
        <v>2</v>
      </c>
      <c r="J129" t="s">
        <v>773</v>
      </c>
      <c r="K129">
        <f>IF(AND(H129=OFICIAL!F54, I129=OFICIAL!G54), 5, 0)</f>
        <v>0</v>
      </c>
    </row>
    <row r="130" spans="1:11" x14ac:dyDescent="0.25">
      <c r="A130" t="s">
        <v>63</v>
      </c>
      <c r="B130" t="s">
        <v>89</v>
      </c>
      <c r="C130" t="s">
        <v>661</v>
      </c>
      <c r="D130" t="s">
        <v>2</v>
      </c>
      <c r="E130" t="s">
        <v>6</v>
      </c>
      <c r="F130" t="s">
        <v>3</v>
      </c>
      <c r="G130" t="s">
        <v>660</v>
      </c>
      <c r="H130">
        <v>0</v>
      </c>
      <c r="I130">
        <v>0</v>
      </c>
      <c r="J130" t="s">
        <v>773</v>
      </c>
      <c r="K130">
        <f>IF(AND(H130=OFICIAL!F55, I130=OFICIAL!G55), 5, 0)</f>
        <v>0</v>
      </c>
    </row>
    <row r="131" spans="1:11" x14ac:dyDescent="0.25">
      <c r="A131" t="s">
        <v>63</v>
      </c>
      <c r="B131" t="s">
        <v>89</v>
      </c>
      <c r="C131" t="s">
        <v>664</v>
      </c>
      <c r="D131" t="s">
        <v>22</v>
      </c>
      <c r="E131" t="s">
        <v>24</v>
      </c>
      <c r="F131" t="s">
        <v>28</v>
      </c>
      <c r="G131" t="s">
        <v>663</v>
      </c>
      <c r="H131">
        <v>0</v>
      </c>
      <c r="I131">
        <v>4</v>
      </c>
      <c r="J131" t="s">
        <v>777</v>
      </c>
      <c r="K131">
        <f>IF(AND(H131=OFICIAL!F56, I131=OFICIAL!G56), 5, 0)</f>
        <v>0</v>
      </c>
    </row>
    <row r="132" spans="1:11" x14ac:dyDescent="0.25">
      <c r="A132" t="s">
        <v>63</v>
      </c>
      <c r="B132" t="s">
        <v>89</v>
      </c>
      <c r="C132" t="s">
        <v>662</v>
      </c>
      <c r="D132" t="s">
        <v>22</v>
      </c>
      <c r="E132" t="s">
        <v>29</v>
      </c>
      <c r="F132" t="s">
        <v>23</v>
      </c>
      <c r="G132" t="s">
        <v>663</v>
      </c>
      <c r="H132">
        <v>1</v>
      </c>
      <c r="I132">
        <v>3</v>
      </c>
      <c r="J132" t="s">
        <v>777</v>
      </c>
      <c r="K132">
        <f>IF(AND(H132=OFICIAL!F57, I132=OFICIAL!G57), 5, 0)</f>
        <v>0</v>
      </c>
    </row>
    <row r="133" spans="1:11" x14ac:dyDescent="0.25">
      <c r="A133" t="s">
        <v>63</v>
      </c>
      <c r="B133" t="s">
        <v>89</v>
      </c>
      <c r="C133" t="s">
        <v>667</v>
      </c>
      <c r="D133" t="s">
        <v>25</v>
      </c>
      <c r="E133" t="s">
        <v>31</v>
      </c>
      <c r="F133" t="s">
        <v>26</v>
      </c>
      <c r="G133" t="s">
        <v>666</v>
      </c>
      <c r="H133">
        <v>1</v>
      </c>
      <c r="I133">
        <v>4</v>
      </c>
      <c r="J133" t="s">
        <v>778</v>
      </c>
      <c r="K133">
        <f>IF(AND(H133=OFICIAL!F58, I133=OFICIAL!G58), 5, 0)</f>
        <v>0</v>
      </c>
    </row>
    <row r="134" spans="1:11" x14ac:dyDescent="0.25">
      <c r="A134" t="s">
        <v>63</v>
      </c>
      <c r="B134" t="s">
        <v>89</v>
      </c>
      <c r="C134" t="s">
        <v>665</v>
      </c>
      <c r="D134" t="s">
        <v>25</v>
      </c>
      <c r="E134" t="s">
        <v>27</v>
      </c>
      <c r="F134" t="s">
        <v>30</v>
      </c>
      <c r="G134" t="s">
        <v>666</v>
      </c>
      <c r="H134">
        <v>2</v>
      </c>
      <c r="I134">
        <v>2</v>
      </c>
      <c r="J134" t="s">
        <v>778</v>
      </c>
      <c r="K134">
        <f>IF(AND(H134=OFICIAL!F59, I134=OFICIAL!G59), 5, 0)</f>
        <v>0</v>
      </c>
    </row>
    <row r="135" spans="1:11" x14ac:dyDescent="0.25">
      <c r="A135" t="s">
        <v>63</v>
      </c>
      <c r="B135" t="s">
        <v>89</v>
      </c>
      <c r="C135" t="s">
        <v>668</v>
      </c>
      <c r="D135" t="s">
        <v>10</v>
      </c>
      <c r="E135" t="s">
        <v>21</v>
      </c>
      <c r="F135" t="s">
        <v>11</v>
      </c>
      <c r="G135" t="s">
        <v>669</v>
      </c>
      <c r="H135">
        <v>2</v>
      </c>
      <c r="I135">
        <v>1</v>
      </c>
      <c r="J135" t="s">
        <v>775</v>
      </c>
      <c r="K135">
        <f>IF(AND(H135=OFICIAL!F60, I135=OFICIAL!G60), 5, 0)</f>
        <v>0</v>
      </c>
    </row>
    <row r="136" spans="1:11" x14ac:dyDescent="0.25">
      <c r="A136" t="s">
        <v>63</v>
      </c>
      <c r="B136" t="s">
        <v>89</v>
      </c>
      <c r="C136" t="s">
        <v>670</v>
      </c>
      <c r="D136" t="s">
        <v>10</v>
      </c>
      <c r="E136" t="s">
        <v>12</v>
      </c>
      <c r="F136" t="s">
        <v>20</v>
      </c>
      <c r="G136" t="s">
        <v>669</v>
      </c>
      <c r="H136">
        <v>0</v>
      </c>
      <c r="I136">
        <v>0</v>
      </c>
      <c r="J136" t="s">
        <v>775</v>
      </c>
      <c r="K136">
        <f>IF(AND(H136=OFICIAL!F61, I136=OFICIAL!G61), 5, 0)</f>
        <v>0</v>
      </c>
    </row>
    <row r="137" spans="1:11" x14ac:dyDescent="0.25">
      <c r="A137" t="s">
        <v>63</v>
      </c>
      <c r="B137" t="s">
        <v>89</v>
      </c>
      <c r="C137" t="s">
        <v>673</v>
      </c>
      <c r="D137" t="s">
        <v>42</v>
      </c>
      <c r="E137" t="s">
        <v>44</v>
      </c>
      <c r="F137" t="s">
        <v>45</v>
      </c>
      <c r="G137" t="s">
        <v>672</v>
      </c>
      <c r="H137">
        <v>2</v>
      </c>
      <c r="I137">
        <v>0</v>
      </c>
      <c r="J137" t="s">
        <v>781</v>
      </c>
      <c r="K137">
        <f>IF(AND(H137=OFICIAL!F62, I137=OFICIAL!G62), 5, 0)</f>
        <v>0</v>
      </c>
    </row>
    <row r="138" spans="1:11" x14ac:dyDescent="0.25">
      <c r="A138" t="s">
        <v>63</v>
      </c>
      <c r="B138" t="s">
        <v>89</v>
      </c>
      <c r="C138" t="s">
        <v>671</v>
      </c>
      <c r="D138" t="s">
        <v>42</v>
      </c>
      <c r="E138" t="s">
        <v>46</v>
      </c>
      <c r="F138" t="s">
        <v>43</v>
      </c>
      <c r="G138" t="s">
        <v>672</v>
      </c>
      <c r="H138">
        <v>1</v>
      </c>
      <c r="I138">
        <v>3</v>
      </c>
      <c r="J138" t="s">
        <v>781</v>
      </c>
      <c r="K138">
        <f>IF(AND(H138=OFICIAL!F63, I138=OFICIAL!G63), 5, 0)</f>
        <v>0</v>
      </c>
    </row>
    <row r="139" spans="1:11" x14ac:dyDescent="0.25">
      <c r="A139" t="s">
        <v>63</v>
      </c>
      <c r="B139" t="s">
        <v>89</v>
      </c>
      <c r="C139" t="s">
        <v>676</v>
      </c>
      <c r="D139" t="s">
        <v>32</v>
      </c>
      <c r="E139" t="s">
        <v>34</v>
      </c>
      <c r="F139" t="s">
        <v>38</v>
      </c>
      <c r="G139" t="s">
        <v>675</v>
      </c>
      <c r="H139">
        <v>1</v>
      </c>
      <c r="I139">
        <v>3</v>
      </c>
      <c r="J139" t="s">
        <v>779</v>
      </c>
      <c r="K139">
        <f>IF(AND(H139=OFICIAL!F64, I139=OFICIAL!G64), 5, 0)</f>
        <v>0</v>
      </c>
    </row>
    <row r="140" spans="1:11" x14ac:dyDescent="0.25">
      <c r="A140" t="s">
        <v>63</v>
      </c>
      <c r="B140" t="s">
        <v>89</v>
      </c>
      <c r="C140" t="s">
        <v>674</v>
      </c>
      <c r="D140" t="s">
        <v>32</v>
      </c>
      <c r="E140" t="s">
        <v>39</v>
      </c>
      <c r="F140" t="s">
        <v>33</v>
      </c>
      <c r="G140" t="s">
        <v>675</v>
      </c>
      <c r="H140">
        <v>1</v>
      </c>
      <c r="I140">
        <v>3</v>
      </c>
      <c r="J140" t="s">
        <v>779</v>
      </c>
      <c r="K140">
        <f>IF(AND(H140=OFICIAL!F65, I140=OFICIAL!G65), 5, 0)</f>
        <v>0</v>
      </c>
    </row>
    <row r="141" spans="1:11" x14ac:dyDescent="0.25">
      <c r="A141" t="s">
        <v>63</v>
      </c>
      <c r="B141" t="s">
        <v>89</v>
      </c>
      <c r="C141" t="s">
        <v>679</v>
      </c>
      <c r="D141" t="s">
        <v>35</v>
      </c>
      <c r="E141" t="s">
        <v>41</v>
      </c>
      <c r="F141" t="s">
        <v>36</v>
      </c>
      <c r="G141" t="s">
        <v>678</v>
      </c>
      <c r="H141">
        <v>1</v>
      </c>
      <c r="I141">
        <v>3</v>
      </c>
      <c r="J141" t="s">
        <v>780</v>
      </c>
      <c r="K141">
        <f>IF(AND(H141=OFICIAL!F66, I141=OFICIAL!G66), 5, 0)</f>
        <v>0</v>
      </c>
    </row>
    <row r="142" spans="1:11" x14ac:dyDescent="0.25">
      <c r="A142" t="s">
        <v>63</v>
      </c>
      <c r="B142" t="s">
        <v>89</v>
      </c>
      <c r="C142" t="s">
        <v>677</v>
      </c>
      <c r="D142" t="s">
        <v>35</v>
      </c>
      <c r="E142" t="s">
        <v>37</v>
      </c>
      <c r="F142" t="s">
        <v>40</v>
      </c>
      <c r="G142" t="s">
        <v>678</v>
      </c>
      <c r="H142">
        <v>2</v>
      </c>
      <c r="I142">
        <v>0</v>
      </c>
      <c r="J142" t="s">
        <v>780</v>
      </c>
      <c r="K142">
        <f>IF(AND(H142=OFICIAL!F67, I142=OFICIAL!G67), 5, 0)</f>
        <v>0</v>
      </c>
    </row>
    <row r="143" spans="1:11" x14ac:dyDescent="0.25">
      <c r="A143" t="s">
        <v>63</v>
      </c>
      <c r="B143" t="s">
        <v>89</v>
      </c>
      <c r="C143" t="s">
        <v>682</v>
      </c>
      <c r="D143" t="s">
        <v>55</v>
      </c>
      <c r="E143" t="s">
        <v>57</v>
      </c>
      <c r="F143" t="s">
        <v>58</v>
      </c>
      <c r="G143" t="s">
        <v>681</v>
      </c>
      <c r="H143">
        <v>2</v>
      </c>
      <c r="I143">
        <v>1</v>
      </c>
      <c r="J143" t="s">
        <v>784</v>
      </c>
      <c r="K143">
        <f>IF(AND(H143=OFICIAL!F68, I143=OFICIAL!G68), 5, 0)</f>
        <v>0</v>
      </c>
    </row>
    <row r="144" spans="1:11" x14ac:dyDescent="0.25">
      <c r="A144" t="s">
        <v>63</v>
      </c>
      <c r="B144" t="s">
        <v>89</v>
      </c>
      <c r="C144" t="s">
        <v>680</v>
      </c>
      <c r="D144" t="s">
        <v>55</v>
      </c>
      <c r="E144" t="s">
        <v>59</v>
      </c>
      <c r="F144" t="s">
        <v>56</v>
      </c>
      <c r="G144" t="s">
        <v>681</v>
      </c>
      <c r="H144">
        <v>0</v>
      </c>
      <c r="I144">
        <v>4</v>
      </c>
      <c r="J144" t="s">
        <v>784</v>
      </c>
      <c r="K144">
        <f>IF(AND(H144=OFICIAL!F69, I144=OFICIAL!G69), 5, 0)</f>
        <v>0</v>
      </c>
    </row>
    <row r="145" spans="1:12" x14ac:dyDescent="0.25">
      <c r="A145" t="s">
        <v>63</v>
      </c>
      <c r="B145" t="s">
        <v>89</v>
      </c>
      <c r="C145" t="s">
        <v>685</v>
      </c>
      <c r="D145" t="s">
        <v>52</v>
      </c>
      <c r="E145" t="s">
        <v>61</v>
      </c>
      <c r="F145" t="s">
        <v>53</v>
      </c>
      <c r="G145" t="s">
        <v>684</v>
      </c>
      <c r="H145">
        <v>1</v>
      </c>
      <c r="I145">
        <v>2</v>
      </c>
      <c r="J145" t="s">
        <v>783</v>
      </c>
      <c r="K145">
        <f>IF(AND(H145=OFICIAL!F70, I145=OFICIAL!G70), 5, 0)</f>
        <v>0</v>
      </c>
    </row>
    <row r="146" spans="1:12" x14ac:dyDescent="0.25">
      <c r="A146" t="s">
        <v>63</v>
      </c>
      <c r="B146" t="s">
        <v>89</v>
      </c>
      <c r="C146" t="s">
        <v>683</v>
      </c>
      <c r="D146" t="s">
        <v>52</v>
      </c>
      <c r="E146" t="s">
        <v>54</v>
      </c>
      <c r="F146" t="s">
        <v>60</v>
      </c>
      <c r="G146" t="s">
        <v>684</v>
      </c>
      <c r="H146">
        <v>1</v>
      </c>
      <c r="I146">
        <v>1</v>
      </c>
      <c r="J146" t="s">
        <v>783</v>
      </c>
      <c r="K146">
        <f>IF(AND(H146=OFICIAL!F71, I146=OFICIAL!G71), 5, 0)</f>
        <v>0</v>
      </c>
    </row>
    <row r="147" spans="1:12" x14ac:dyDescent="0.25">
      <c r="A147" t="s">
        <v>63</v>
      </c>
      <c r="B147" t="s">
        <v>89</v>
      </c>
      <c r="C147" s="4" t="s">
        <v>688</v>
      </c>
      <c r="D147" t="s">
        <v>47</v>
      </c>
      <c r="E147" t="s">
        <v>51</v>
      </c>
      <c r="F147" t="s">
        <v>48</v>
      </c>
      <c r="G147" t="s">
        <v>687</v>
      </c>
      <c r="H147">
        <v>0</v>
      </c>
      <c r="I147">
        <v>4</v>
      </c>
      <c r="J147" t="s">
        <v>782</v>
      </c>
      <c r="K147">
        <f>IF(AND(H147=OFICIAL!F72, I147=OFICIAL!G72), 5, 0)</f>
        <v>0</v>
      </c>
    </row>
    <row r="148" spans="1:12" x14ac:dyDescent="0.25">
      <c r="A148" t="s">
        <v>63</v>
      </c>
      <c r="B148" t="s">
        <v>89</v>
      </c>
      <c r="C148" t="s">
        <v>686</v>
      </c>
      <c r="D148" t="s">
        <v>47</v>
      </c>
      <c r="E148" t="s">
        <v>49</v>
      </c>
      <c r="F148" t="s">
        <v>50</v>
      </c>
      <c r="G148" t="s">
        <v>687</v>
      </c>
      <c r="H148">
        <v>1</v>
      </c>
      <c r="I148">
        <v>2</v>
      </c>
      <c r="J148" t="s">
        <v>782</v>
      </c>
      <c r="K148">
        <f>IF(AND(H148=OFICIAL!F73, I148=OFICIAL!G73), 5, 0)</f>
        <v>0</v>
      </c>
    </row>
    <row r="150" spans="1:12" ht="18" customHeight="1" thickBot="1" x14ac:dyDescent="0.3">
      <c r="A150" s="23" t="s">
        <v>64</v>
      </c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</row>
    <row r="151" spans="1:12" ht="15.75" thickBot="1" x14ac:dyDescent="0.3">
      <c r="A151" t="s">
        <v>65</v>
      </c>
      <c r="B151" t="s">
        <v>90</v>
      </c>
      <c r="C151" t="s">
        <v>554</v>
      </c>
      <c r="D151" t="s">
        <v>2</v>
      </c>
      <c r="E151" t="s">
        <v>3</v>
      </c>
      <c r="F151" t="s">
        <v>4</v>
      </c>
      <c r="G151" t="s">
        <v>555</v>
      </c>
      <c r="H151">
        <v>2</v>
      </c>
      <c r="I151">
        <v>0</v>
      </c>
      <c r="J151" t="s">
        <v>788</v>
      </c>
      <c r="K151">
        <f>IF(AND(H151=OFICIAL!F2, I151=OFICIAL!G2), 5, 0)</f>
        <v>5</v>
      </c>
      <c r="L151" s="6">
        <f>SUM(K151:K222)</f>
        <v>25</v>
      </c>
    </row>
    <row r="152" spans="1:12" x14ac:dyDescent="0.25">
      <c r="A152" t="s">
        <v>65</v>
      </c>
      <c r="B152" t="s">
        <v>90</v>
      </c>
      <c r="C152" t="s">
        <v>557</v>
      </c>
      <c r="D152" t="s">
        <v>2</v>
      </c>
      <c r="E152" t="s">
        <v>5</v>
      </c>
      <c r="F152" t="s">
        <v>6</v>
      </c>
      <c r="G152" t="s">
        <v>558</v>
      </c>
      <c r="H152">
        <v>1</v>
      </c>
      <c r="I152">
        <v>1</v>
      </c>
      <c r="J152" t="s">
        <v>788</v>
      </c>
      <c r="K152">
        <f>IF(AND(H152=OFICIAL!F3, I152=OFICIAL!G3), 5, 0)</f>
        <v>0</v>
      </c>
    </row>
    <row r="153" spans="1:12" x14ac:dyDescent="0.25">
      <c r="A153" t="s">
        <v>65</v>
      </c>
      <c r="B153" t="s">
        <v>90</v>
      </c>
      <c r="C153" t="s">
        <v>559</v>
      </c>
      <c r="D153" t="s">
        <v>7</v>
      </c>
      <c r="E153" t="s">
        <v>8</v>
      </c>
      <c r="F153" t="s">
        <v>9</v>
      </c>
      <c r="G153" t="s">
        <v>560</v>
      </c>
      <c r="H153">
        <v>2</v>
      </c>
      <c r="I153">
        <v>1</v>
      </c>
      <c r="J153" t="s">
        <v>789</v>
      </c>
      <c r="K153">
        <f>IF(AND(H153=OFICIAL!F4, I153=OFICIAL!G4), 5, 0)</f>
        <v>0</v>
      </c>
    </row>
    <row r="154" spans="1:12" x14ac:dyDescent="0.25">
      <c r="A154" t="s">
        <v>65</v>
      </c>
      <c r="B154" t="s">
        <v>90</v>
      </c>
      <c r="C154" t="s">
        <v>561</v>
      </c>
      <c r="D154" t="s">
        <v>10</v>
      </c>
      <c r="E154" t="s">
        <v>11</v>
      </c>
      <c r="F154" t="s">
        <v>12</v>
      </c>
      <c r="G154" t="s">
        <v>562</v>
      </c>
      <c r="H154">
        <v>2</v>
      </c>
      <c r="I154">
        <v>0</v>
      </c>
      <c r="J154" t="s">
        <v>790</v>
      </c>
      <c r="K154">
        <f>IF(AND(H154=OFICIAL!F5, I154=OFICIAL!G5), 5, 0)</f>
        <v>0</v>
      </c>
    </row>
    <row r="155" spans="1:12" x14ac:dyDescent="0.25">
      <c r="A155" t="s">
        <v>65</v>
      </c>
      <c r="B155" t="s">
        <v>90</v>
      </c>
      <c r="C155" t="s">
        <v>563</v>
      </c>
      <c r="D155" t="s">
        <v>7</v>
      </c>
      <c r="E155" t="s">
        <v>13</v>
      </c>
      <c r="F155" t="s">
        <v>14</v>
      </c>
      <c r="G155" t="s">
        <v>564</v>
      </c>
      <c r="H155">
        <v>0</v>
      </c>
      <c r="I155">
        <v>2</v>
      </c>
      <c r="J155" t="s">
        <v>789</v>
      </c>
      <c r="K155">
        <f>IF(AND(H155=OFICIAL!F6, I155=OFICIAL!G6), 5, 0)</f>
        <v>0</v>
      </c>
    </row>
    <row r="156" spans="1:12" x14ac:dyDescent="0.25">
      <c r="A156" t="s">
        <v>65</v>
      </c>
      <c r="B156" t="s">
        <v>90</v>
      </c>
      <c r="C156" t="s">
        <v>565</v>
      </c>
      <c r="D156" t="s">
        <v>15</v>
      </c>
      <c r="E156" t="s">
        <v>16</v>
      </c>
      <c r="F156" t="s">
        <v>17</v>
      </c>
      <c r="G156" t="s">
        <v>566</v>
      </c>
      <c r="H156">
        <v>2</v>
      </c>
      <c r="I156">
        <v>1</v>
      </c>
      <c r="J156" t="s">
        <v>791</v>
      </c>
      <c r="K156">
        <f>IF(AND(H156=OFICIAL!F7, I156=OFICIAL!G7), 5, 0)</f>
        <v>0</v>
      </c>
    </row>
    <row r="157" spans="1:12" x14ac:dyDescent="0.25">
      <c r="A157" t="s">
        <v>65</v>
      </c>
      <c r="B157" t="s">
        <v>90</v>
      </c>
      <c r="C157" t="s">
        <v>567</v>
      </c>
      <c r="D157" t="s">
        <v>15</v>
      </c>
      <c r="E157" t="s">
        <v>18</v>
      </c>
      <c r="F157" t="s">
        <v>19</v>
      </c>
      <c r="G157" t="s">
        <v>568</v>
      </c>
      <c r="H157">
        <v>1</v>
      </c>
      <c r="I157">
        <v>1</v>
      </c>
      <c r="J157" t="s">
        <v>791</v>
      </c>
      <c r="K157">
        <f>IF(AND(H157=OFICIAL!F8, I157=OFICIAL!G8), 5, 0)</f>
        <v>0</v>
      </c>
    </row>
    <row r="158" spans="1:12" x14ac:dyDescent="0.25">
      <c r="A158" t="s">
        <v>65</v>
      </c>
      <c r="B158" t="s">
        <v>90</v>
      </c>
      <c r="C158" t="s">
        <v>569</v>
      </c>
      <c r="D158" t="s">
        <v>10</v>
      </c>
      <c r="E158" t="s">
        <v>20</v>
      </c>
      <c r="F158" t="s">
        <v>21</v>
      </c>
      <c r="G158" t="s">
        <v>570</v>
      </c>
      <c r="H158">
        <v>1</v>
      </c>
      <c r="I158">
        <v>1</v>
      </c>
      <c r="J158" t="s">
        <v>790</v>
      </c>
      <c r="K158">
        <f>IF(AND(H158=OFICIAL!F9, I158=OFICIAL!G9), 5, 0)</f>
        <v>0</v>
      </c>
    </row>
    <row r="159" spans="1:12" x14ac:dyDescent="0.25">
      <c r="A159" t="s">
        <v>65</v>
      </c>
      <c r="B159" t="s">
        <v>90</v>
      </c>
      <c r="C159" t="s">
        <v>571</v>
      </c>
      <c r="D159" t="s">
        <v>22</v>
      </c>
      <c r="E159" t="s">
        <v>23</v>
      </c>
      <c r="F159" t="s">
        <v>24</v>
      </c>
      <c r="G159" t="s">
        <v>572</v>
      </c>
      <c r="H159">
        <v>3</v>
      </c>
      <c r="I159">
        <v>0</v>
      </c>
      <c r="J159" t="s">
        <v>792</v>
      </c>
      <c r="K159">
        <f>IF(AND(H159=OFICIAL!F10, I159=OFICIAL!G10), 5, 0)</f>
        <v>0</v>
      </c>
    </row>
    <row r="160" spans="1:12" x14ac:dyDescent="0.25">
      <c r="A160" t="s">
        <v>65</v>
      </c>
      <c r="B160" t="s">
        <v>90</v>
      </c>
      <c r="C160" t="s">
        <v>573</v>
      </c>
      <c r="D160" t="s">
        <v>25</v>
      </c>
      <c r="E160" t="s">
        <v>26</v>
      </c>
      <c r="F160" t="s">
        <v>27</v>
      </c>
      <c r="G160" t="s">
        <v>574</v>
      </c>
      <c r="H160">
        <v>2</v>
      </c>
      <c r="I160">
        <v>1</v>
      </c>
      <c r="J160" t="s">
        <v>793</v>
      </c>
      <c r="K160">
        <f>IF(AND(H160=OFICIAL!F11, I160=OFICIAL!G11), 5, 0)</f>
        <v>0</v>
      </c>
    </row>
    <row r="161" spans="1:11" x14ac:dyDescent="0.25">
      <c r="A161" t="s">
        <v>65</v>
      </c>
      <c r="B161" t="s">
        <v>90</v>
      </c>
      <c r="C161" t="s">
        <v>575</v>
      </c>
      <c r="D161" t="s">
        <v>22</v>
      </c>
      <c r="E161" t="s">
        <v>28</v>
      </c>
      <c r="F161" t="s">
        <v>29</v>
      </c>
      <c r="G161" t="s">
        <v>576</v>
      </c>
      <c r="H161">
        <v>1</v>
      </c>
      <c r="I161">
        <v>1</v>
      </c>
      <c r="J161" t="s">
        <v>792</v>
      </c>
      <c r="K161">
        <f>IF(AND(H161=OFICIAL!F12, I161=OFICIAL!G12), 5, 0)</f>
        <v>0</v>
      </c>
    </row>
    <row r="162" spans="1:11" x14ac:dyDescent="0.25">
      <c r="A162" t="s">
        <v>65</v>
      </c>
      <c r="B162" t="s">
        <v>90</v>
      </c>
      <c r="C162" t="s">
        <v>577</v>
      </c>
      <c r="D162" t="s">
        <v>25</v>
      </c>
      <c r="E162" t="s">
        <v>30</v>
      </c>
      <c r="F162" t="s">
        <v>31</v>
      </c>
      <c r="G162" t="s">
        <v>578</v>
      </c>
      <c r="H162">
        <v>1</v>
      </c>
      <c r="I162">
        <v>0</v>
      </c>
      <c r="J162" t="s">
        <v>793</v>
      </c>
      <c r="K162">
        <f>IF(AND(H162=OFICIAL!F13, I162=OFICIAL!G13), 5, 0)</f>
        <v>0</v>
      </c>
    </row>
    <row r="163" spans="1:11" x14ac:dyDescent="0.25">
      <c r="A163" t="s">
        <v>65</v>
      </c>
      <c r="B163" t="s">
        <v>90</v>
      </c>
      <c r="C163" t="s">
        <v>579</v>
      </c>
      <c r="D163" t="s">
        <v>32</v>
      </c>
      <c r="E163" t="s">
        <v>33</v>
      </c>
      <c r="F163" t="s">
        <v>34</v>
      </c>
      <c r="G163" t="s">
        <v>580</v>
      </c>
      <c r="H163">
        <v>2</v>
      </c>
      <c r="I163">
        <v>0</v>
      </c>
      <c r="J163" t="s">
        <v>794</v>
      </c>
      <c r="K163">
        <f>IF(AND(H163=OFICIAL!F14, I163=OFICIAL!G14), 5, 0)</f>
        <v>0</v>
      </c>
    </row>
    <row r="164" spans="1:11" x14ac:dyDescent="0.25">
      <c r="A164" t="s">
        <v>65</v>
      </c>
      <c r="B164" t="s">
        <v>90</v>
      </c>
      <c r="C164" t="s">
        <v>581</v>
      </c>
      <c r="D164" t="s">
        <v>35</v>
      </c>
      <c r="E164" t="s">
        <v>36</v>
      </c>
      <c r="F164" t="s">
        <v>37</v>
      </c>
      <c r="G164" t="s">
        <v>582</v>
      </c>
      <c r="H164">
        <v>1</v>
      </c>
      <c r="I164">
        <v>0</v>
      </c>
      <c r="J164" t="s">
        <v>795</v>
      </c>
      <c r="K164">
        <f>IF(AND(H164=OFICIAL!F15, I164=OFICIAL!G15), 5, 0)</f>
        <v>0</v>
      </c>
    </row>
    <row r="165" spans="1:11" x14ac:dyDescent="0.25">
      <c r="A165" t="s">
        <v>65</v>
      </c>
      <c r="B165" t="s">
        <v>90</v>
      </c>
      <c r="C165" t="s">
        <v>583</v>
      </c>
      <c r="D165" t="s">
        <v>32</v>
      </c>
      <c r="E165" t="s">
        <v>38</v>
      </c>
      <c r="F165" t="s">
        <v>39</v>
      </c>
      <c r="G165" t="s">
        <v>584</v>
      </c>
      <c r="H165">
        <v>1</v>
      </c>
      <c r="I165">
        <v>2</v>
      </c>
      <c r="J165" t="s">
        <v>794</v>
      </c>
      <c r="K165">
        <f>IF(AND(H165=OFICIAL!F16, I165=OFICIAL!G16), 5, 0)</f>
        <v>0</v>
      </c>
    </row>
    <row r="166" spans="1:11" x14ac:dyDescent="0.25">
      <c r="A166" t="s">
        <v>65</v>
      </c>
      <c r="B166" t="s">
        <v>90</v>
      </c>
      <c r="C166" t="s">
        <v>585</v>
      </c>
      <c r="D166" t="s">
        <v>35</v>
      </c>
      <c r="E166" t="s">
        <v>40</v>
      </c>
      <c r="F166" t="s">
        <v>41</v>
      </c>
      <c r="G166" t="s">
        <v>586</v>
      </c>
      <c r="H166">
        <v>2</v>
      </c>
      <c r="I166">
        <v>1</v>
      </c>
      <c r="J166" t="s">
        <v>795</v>
      </c>
      <c r="K166">
        <f>IF(AND(H166=OFICIAL!F17, I166=OFICIAL!G17), 5, 0)</f>
        <v>0</v>
      </c>
    </row>
    <row r="167" spans="1:11" x14ac:dyDescent="0.25">
      <c r="A167" t="s">
        <v>65</v>
      </c>
      <c r="B167" t="s">
        <v>90</v>
      </c>
      <c r="C167" t="s">
        <v>587</v>
      </c>
      <c r="D167" t="s">
        <v>42</v>
      </c>
      <c r="E167" t="s">
        <v>43</v>
      </c>
      <c r="F167" t="s">
        <v>44</v>
      </c>
      <c r="G167" t="s">
        <v>588</v>
      </c>
      <c r="H167">
        <v>2</v>
      </c>
      <c r="I167">
        <v>1</v>
      </c>
      <c r="J167" t="s">
        <v>796</v>
      </c>
      <c r="K167">
        <f>IF(AND(H167=OFICIAL!F18, I167=OFICIAL!G18), 5, 0)</f>
        <v>0</v>
      </c>
    </row>
    <row r="168" spans="1:11" x14ac:dyDescent="0.25">
      <c r="A168" t="s">
        <v>65</v>
      </c>
      <c r="B168" t="s">
        <v>90</v>
      </c>
      <c r="C168" t="s">
        <v>589</v>
      </c>
      <c r="D168" t="s">
        <v>42</v>
      </c>
      <c r="E168" t="s">
        <v>45</v>
      </c>
      <c r="F168" t="s">
        <v>46</v>
      </c>
      <c r="G168" t="s">
        <v>590</v>
      </c>
      <c r="H168">
        <v>1</v>
      </c>
      <c r="I168">
        <v>1</v>
      </c>
      <c r="J168" t="s">
        <v>796</v>
      </c>
      <c r="K168">
        <f>IF(AND(H168=OFICIAL!F19, I168=OFICIAL!G19), 5, 0)</f>
        <v>0</v>
      </c>
    </row>
    <row r="169" spans="1:11" x14ac:dyDescent="0.25">
      <c r="A169" t="s">
        <v>65</v>
      </c>
      <c r="B169" t="s">
        <v>90</v>
      </c>
      <c r="C169" t="s">
        <v>591</v>
      </c>
      <c r="D169" t="s">
        <v>47</v>
      </c>
      <c r="E169" t="s">
        <v>48</v>
      </c>
      <c r="F169" t="s">
        <v>49</v>
      </c>
      <c r="G169" t="s">
        <v>592</v>
      </c>
      <c r="H169">
        <v>2</v>
      </c>
      <c r="I169">
        <v>1</v>
      </c>
      <c r="J169" t="s">
        <v>797</v>
      </c>
      <c r="K169">
        <f>IF(AND(H169=OFICIAL!F20, I169=OFICIAL!G20), 5, 0)</f>
        <v>0</v>
      </c>
    </row>
    <row r="170" spans="1:11" x14ac:dyDescent="0.25">
      <c r="A170" t="s">
        <v>65</v>
      </c>
      <c r="B170" t="s">
        <v>90</v>
      </c>
      <c r="C170" t="s">
        <v>593</v>
      </c>
      <c r="D170" t="s">
        <v>47</v>
      </c>
      <c r="E170" t="s">
        <v>50</v>
      </c>
      <c r="F170" t="s">
        <v>51</v>
      </c>
      <c r="G170" t="s">
        <v>594</v>
      </c>
      <c r="H170">
        <v>1</v>
      </c>
      <c r="I170">
        <v>1</v>
      </c>
      <c r="J170" t="s">
        <v>797</v>
      </c>
      <c r="K170">
        <f>IF(AND(H170=OFICIAL!F21, I170=OFICIAL!G21), 5, 0)</f>
        <v>0</v>
      </c>
    </row>
    <row r="171" spans="1:11" x14ac:dyDescent="0.25">
      <c r="A171" t="s">
        <v>65</v>
      </c>
      <c r="B171" t="s">
        <v>90</v>
      </c>
      <c r="C171" t="s">
        <v>595</v>
      </c>
      <c r="D171" t="s">
        <v>52</v>
      </c>
      <c r="E171" t="s">
        <v>53</v>
      </c>
      <c r="F171" t="s">
        <v>54</v>
      </c>
      <c r="G171" t="s">
        <v>596</v>
      </c>
      <c r="H171">
        <v>3</v>
      </c>
      <c r="I171">
        <v>0</v>
      </c>
      <c r="J171" t="s">
        <v>798</v>
      </c>
      <c r="K171">
        <f>IF(AND(H171=OFICIAL!F22, I171=OFICIAL!G22), 5, 0)</f>
        <v>0</v>
      </c>
    </row>
    <row r="172" spans="1:11" x14ac:dyDescent="0.25">
      <c r="A172" t="s">
        <v>65</v>
      </c>
      <c r="B172" t="s">
        <v>90</v>
      </c>
      <c r="C172" t="s">
        <v>597</v>
      </c>
      <c r="D172" t="s">
        <v>55</v>
      </c>
      <c r="E172" t="s">
        <v>56</v>
      </c>
      <c r="F172" t="s">
        <v>57</v>
      </c>
      <c r="G172" t="s">
        <v>598</v>
      </c>
      <c r="H172">
        <v>2</v>
      </c>
      <c r="I172">
        <v>1</v>
      </c>
      <c r="J172" t="s">
        <v>799</v>
      </c>
      <c r="K172">
        <f>IF(AND(H172=OFICIAL!F23, I172=OFICIAL!G23), 5, 0)</f>
        <v>0</v>
      </c>
    </row>
    <row r="173" spans="1:11" x14ac:dyDescent="0.25">
      <c r="A173" t="s">
        <v>65</v>
      </c>
      <c r="B173" t="s">
        <v>90</v>
      </c>
      <c r="C173" t="s">
        <v>599</v>
      </c>
      <c r="D173" t="s">
        <v>55</v>
      </c>
      <c r="E173" t="s">
        <v>58</v>
      </c>
      <c r="F173" t="s">
        <v>59</v>
      </c>
      <c r="G173" t="s">
        <v>600</v>
      </c>
      <c r="H173">
        <v>1</v>
      </c>
      <c r="I173">
        <v>1</v>
      </c>
      <c r="J173" t="s">
        <v>799</v>
      </c>
      <c r="K173">
        <f>IF(AND(H173=OFICIAL!F24, I173=OFICIAL!G24), 5, 0)</f>
        <v>0</v>
      </c>
    </row>
    <row r="174" spans="1:11" x14ac:dyDescent="0.25">
      <c r="A174" t="s">
        <v>65</v>
      </c>
      <c r="B174" t="s">
        <v>90</v>
      </c>
      <c r="C174" t="s">
        <v>601</v>
      </c>
      <c r="D174" t="s">
        <v>52</v>
      </c>
      <c r="E174" t="s">
        <v>60</v>
      </c>
      <c r="F174" t="s">
        <v>61</v>
      </c>
      <c r="G174" t="s">
        <v>602</v>
      </c>
      <c r="H174">
        <v>1</v>
      </c>
      <c r="I174">
        <v>2</v>
      </c>
      <c r="J174" t="s">
        <v>798</v>
      </c>
      <c r="K174">
        <f>IF(AND(H174=OFICIAL!F25, I174=OFICIAL!G25), 5, 0)</f>
        <v>0</v>
      </c>
    </row>
    <row r="175" spans="1:11" x14ac:dyDescent="0.25">
      <c r="A175" t="s">
        <v>65</v>
      </c>
      <c r="B175" t="s">
        <v>90</v>
      </c>
      <c r="C175" t="s">
        <v>603</v>
      </c>
      <c r="D175" t="s">
        <v>2</v>
      </c>
      <c r="E175" t="s">
        <v>4</v>
      </c>
      <c r="F175" t="s">
        <v>6</v>
      </c>
      <c r="G175" t="s">
        <v>604</v>
      </c>
      <c r="H175">
        <v>1</v>
      </c>
      <c r="I175">
        <v>1</v>
      </c>
      <c r="J175" t="s">
        <v>788</v>
      </c>
      <c r="K175">
        <f>IF(AND(H175=OFICIAL!F26, I175=OFICIAL!G26), 5, 0)</f>
        <v>5</v>
      </c>
    </row>
    <row r="176" spans="1:11" x14ac:dyDescent="0.25">
      <c r="A176" t="s">
        <v>65</v>
      </c>
      <c r="B176" t="s">
        <v>90</v>
      </c>
      <c r="C176" t="s">
        <v>605</v>
      </c>
      <c r="D176" t="s">
        <v>7</v>
      </c>
      <c r="E176" t="s">
        <v>9</v>
      </c>
      <c r="F176" t="s">
        <v>14</v>
      </c>
      <c r="G176" t="s">
        <v>606</v>
      </c>
      <c r="H176">
        <v>0</v>
      </c>
      <c r="I176">
        <v>2</v>
      </c>
      <c r="J176" t="s">
        <v>789</v>
      </c>
      <c r="K176">
        <f>IF(AND(H176=OFICIAL!F27, I176=OFICIAL!G27), 5, 0)</f>
        <v>0</v>
      </c>
    </row>
    <row r="177" spans="1:11" x14ac:dyDescent="0.25">
      <c r="A177" t="s">
        <v>65</v>
      </c>
      <c r="B177" t="s">
        <v>90</v>
      </c>
      <c r="C177" t="s">
        <v>607</v>
      </c>
      <c r="D177" t="s">
        <v>7</v>
      </c>
      <c r="E177" t="s">
        <v>8</v>
      </c>
      <c r="F177" t="s">
        <v>13</v>
      </c>
      <c r="G177" t="s">
        <v>608</v>
      </c>
      <c r="H177">
        <v>2</v>
      </c>
      <c r="I177">
        <v>1</v>
      </c>
      <c r="J177" t="s">
        <v>789</v>
      </c>
      <c r="K177">
        <f>IF(AND(H177=OFICIAL!F28, I177=OFICIAL!G28), 5, 0)</f>
        <v>0</v>
      </c>
    </row>
    <row r="178" spans="1:11" x14ac:dyDescent="0.25">
      <c r="A178" t="s">
        <v>65</v>
      </c>
      <c r="B178" t="s">
        <v>90</v>
      </c>
      <c r="C178" t="s">
        <v>609</v>
      </c>
      <c r="D178" t="s">
        <v>2</v>
      </c>
      <c r="E178" t="s">
        <v>3</v>
      </c>
      <c r="F178" t="s">
        <v>5</v>
      </c>
      <c r="G178" t="s">
        <v>610</v>
      </c>
      <c r="H178">
        <v>2</v>
      </c>
      <c r="I178">
        <v>1</v>
      </c>
      <c r="J178" t="s">
        <v>788</v>
      </c>
      <c r="K178">
        <f>IF(AND(H178=OFICIAL!F29, I178=OFICIAL!G29), 5, 0)</f>
        <v>0</v>
      </c>
    </row>
    <row r="179" spans="1:11" x14ac:dyDescent="0.25">
      <c r="A179" t="s">
        <v>65</v>
      </c>
      <c r="B179" t="s">
        <v>90</v>
      </c>
      <c r="C179" t="s">
        <v>611</v>
      </c>
      <c r="D179" t="s">
        <v>10</v>
      </c>
      <c r="E179" t="s">
        <v>11</v>
      </c>
      <c r="F179" t="s">
        <v>20</v>
      </c>
      <c r="G179" t="s">
        <v>612</v>
      </c>
      <c r="H179">
        <v>3</v>
      </c>
      <c r="I179">
        <v>1</v>
      </c>
      <c r="J179" t="s">
        <v>790</v>
      </c>
      <c r="K179">
        <f>IF(AND(H179=OFICIAL!F30, I179=OFICIAL!G30), 5, 0)</f>
        <v>0</v>
      </c>
    </row>
    <row r="180" spans="1:11" x14ac:dyDescent="0.25">
      <c r="A180" t="s">
        <v>65</v>
      </c>
      <c r="B180" t="s">
        <v>90</v>
      </c>
      <c r="C180" t="s">
        <v>613</v>
      </c>
      <c r="D180" t="s">
        <v>15</v>
      </c>
      <c r="E180" t="s">
        <v>17</v>
      </c>
      <c r="F180" t="s">
        <v>19</v>
      </c>
      <c r="G180" t="s">
        <v>614</v>
      </c>
      <c r="H180">
        <v>2</v>
      </c>
      <c r="I180">
        <v>1</v>
      </c>
      <c r="J180" t="s">
        <v>791</v>
      </c>
      <c r="K180">
        <f>IF(AND(H180=OFICIAL!F31, I180=OFICIAL!G31), 5, 0)</f>
        <v>0</v>
      </c>
    </row>
    <row r="181" spans="1:11" x14ac:dyDescent="0.25">
      <c r="A181" t="s">
        <v>65</v>
      </c>
      <c r="B181" t="s">
        <v>90</v>
      </c>
      <c r="C181" t="s">
        <v>615</v>
      </c>
      <c r="D181" t="s">
        <v>15</v>
      </c>
      <c r="E181" t="s">
        <v>16</v>
      </c>
      <c r="F181" t="s">
        <v>18</v>
      </c>
      <c r="G181" t="s">
        <v>616</v>
      </c>
      <c r="H181">
        <v>3</v>
      </c>
      <c r="I181">
        <v>0</v>
      </c>
      <c r="J181" t="s">
        <v>791</v>
      </c>
      <c r="K181">
        <f>IF(AND(H181=OFICIAL!F32, I181=OFICIAL!G32), 5, 0)</f>
        <v>5</v>
      </c>
    </row>
    <row r="182" spans="1:11" x14ac:dyDescent="0.25">
      <c r="A182" t="s">
        <v>65</v>
      </c>
      <c r="B182" t="s">
        <v>90</v>
      </c>
      <c r="C182" t="s">
        <v>617</v>
      </c>
      <c r="D182" t="s">
        <v>10</v>
      </c>
      <c r="E182" t="s">
        <v>12</v>
      </c>
      <c r="F182" t="s">
        <v>21</v>
      </c>
      <c r="G182" t="s">
        <v>618</v>
      </c>
      <c r="H182">
        <v>1</v>
      </c>
      <c r="I182">
        <v>2</v>
      </c>
      <c r="J182" t="s">
        <v>790</v>
      </c>
      <c r="K182">
        <f>IF(AND(H182=OFICIAL!F33, I182=OFICIAL!G33), 5, 0)</f>
        <v>0</v>
      </c>
    </row>
    <row r="183" spans="1:11" x14ac:dyDescent="0.25">
      <c r="A183" t="s">
        <v>65</v>
      </c>
      <c r="B183" t="s">
        <v>90</v>
      </c>
      <c r="C183" t="s">
        <v>619</v>
      </c>
      <c r="D183" t="s">
        <v>25</v>
      </c>
      <c r="E183" t="s">
        <v>26</v>
      </c>
      <c r="F183" t="s">
        <v>30</v>
      </c>
      <c r="G183" t="s">
        <v>620</v>
      </c>
      <c r="H183">
        <v>3</v>
      </c>
      <c r="I183">
        <v>1</v>
      </c>
      <c r="J183" t="s">
        <v>793</v>
      </c>
      <c r="K183">
        <f>IF(AND(H183=OFICIAL!F34, I183=OFICIAL!G34), 5, 0)</f>
        <v>0</v>
      </c>
    </row>
    <row r="184" spans="1:11" x14ac:dyDescent="0.25">
      <c r="A184" t="s">
        <v>65</v>
      </c>
      <c r="B184" t="s">
        <v>90</v>
      </c>
      <c r="C184" t="s">
        <v>623</v>
      </c>
      <c r="D184" t="s">
        <v>22</v>
      </c>
      <c r="E184" t="s">
        <v>23</v>
      </c>
      <c r="F184" t="s">
        <v>28</v>
      </c>
      <c r="G184" t="s">
        <v>624</v>
      </c>
      <c r="H184">
        <v>3</v>
      </c>
      <c r="I184">
        <v>1</v>
      </c>
      <c r="J184" t="s">
        <v>792</v>
      </c>
      <c r="K184">
        <f>IF(AND(H184=OFICIAL!F35, I184=OFICIAL!G35), 5, 0)</f>
        <v>0</v>
      </c>
    </row>
    <row r="185" spans="1:11" x14ac:dyDescent="0.25">
      <c r="A185" t="s">
        <v>65</v>
      </c>
      <c r="B185" t="s">
        <v>90</v>
      </c>
      <c r="C185" t="s">
        <v>625</v>
      </c>
      <c r="D185" t="s">
        <v>22</v>
      </c>
      <c r="E185" t="s">
        <v>24</v>
      </c>
      <c r="F185" t="s">
        <v>29</v>
      </c>
      <c r="G185" t="s">
        <v>626</v>
      </c>
      <c r="H185">
        <v>0</v>
      </c>
      <c r="I185">
        <v>2</v>
      </c>
      <c r="J185" t="s">
        <v>792</v>
      </c>
      <c r="K185">
        <f>IF(AND(H185=OFICIAL!F36, I185=OFICIAL!G36), 5, 0)</f>
        <v>0</v>
      </c>
    </row>
    <row r="186" spans="1:11" x14ac:dyDescent="0.25">
      <c r="A186" t="s">
        <v>65</v>
      </c>
      <c r="B186" t="s">
        <v>90</v>
      </c>
      <c r="C186" t="s">
        <v>627</v>
      </c>
      <c r="D186" t="s">
        <v>25</v>
      </c>
      <c r="E186" t="s">
        <v>27</v>
      </c>
      <c r="F186" t="s">
        <v>31</v>
      </c>
      <c r="G186" t="s">
        <v>628</v>
      </c>
      <c r="H186">
        <v>2</v>
      </c>
      <c r="I186">
        <v>0</v>
      </c>
      <c r="J186" t="s">
        <v>793</v>
      </c>
      <c r="K186">
        <f>IF(AND(H186=OFICIAL!F37, I186=OFICIAL!G37), 5, 0)</f>
        <v>0</v>
      </c>
    </row>
    <row r="187" spans="1:11" x14ac:dyDescent="0.25">
      <c r="A187" t="s">
        <v>65</v>
      </c>
      <c r="B187" t="s">
        <v>90</v>
      </c>
      <c r="C187" t="s">
        <v>629</v>
      </c>
      <c r="D187" t="s">
        <v>32</v>
      </c>
      <c r="E187" t="s">
        <v>33</v>
      </c>
      <c r="F187" t="s">
        <v>38</v>
      </c>
      <c r="G187" t="s">
        <v>630</v>
      </c>
      <c r="H187">
        <v>3</v>
      </c>
      <c r="I187">
        <v>0</v>
      </c>
      <c r="J187" t="s">
        <v>794</v>
      </c>
      <c r="K187">
        <f>IF(AND(H187=OFICIAL!F38, I187=OFICIAL!G38), 5, 0)</f>
        <v>0</v>
      </c>
    </row>
    <row r="188" spans="1:11" x14ac:dyDescent="0.25">
      <c r="A188" t="s">
        <v>65</v>
      </c>
      <c r="B188" t="s">
        <v>90</v>
      </c>
      <c r="C188" t="s">
        <v>631</v>
      </c>
      <c r="D188" t="s">
        <v>35</v>
      </c>
      <c r="E188" t="s">
        <v>36</v>
      </c>
      <c r="F188" t="s">
        <v>40</v>
      </c>
      <c r="G188" t="s">
        <v>632</v>
      </c>
      <c r="H188">
        <v>2</v>
      </c>
      <c r="I188">
        <v>0</v>
      </c>
      <c r="J188" t="s">
        <v>795</v>
      </c>
      <c r="K188">
        <f>IF(AND(H188=OFICIAL!F39, I188=OFICIAL!G39), 5, 0)</f>
        <v>0</v>
      </c>
    </row>
    <row r="189" spans="1:11" x14ac:dyDescent="0.25">
      <c r="A189" t="s">
        <v>65</v>
      </c>
      <c r="B189" t="s">
        <v>90</v>
      </c>
      <c r="C189" s="4" t="s">
        <v>633</v>
      </c>
      <c r="D189" t="s">
        <v>32</v>
      </c>
      <c r="E189" t="s">
        <v>34</v>
      </c>
      <c r="F189" t="s">
        <v>39</v>
      </c>
      <c r="G189" t="s">
        <v>634</v>
      </c>
      <c r="H189">
        <v>0</v>
      </c>
      <c r="I189">
        <v>2</v>
      </c>
      <c r="J189" t="s">
        <v>794</v>
      </c>
      <c r="K189">
        <f>IF(AND(H189=OFICIAL!F40, I189=OFICIAL!G40), 5, 0)</f>
        <v>0</v>
      </c>
    </row>
    <row r="190" spans="1:11" x14ac:dyDescent="0.25">
      <c r="A190" t="s">
        <v>65</v>
      </c>
      <c r="B190" t="s">
        <v>90</v>
      </c>
      <c r="C190" t="s">
        <v>635</v>
      </c>
      <c r="D190" t="s">
        <v>35</v>
      </c>
      <c r="E190" t="s">
        <v>37</v>
      </c>
      <c r="F190" t="s">
        <v>41</v>
      </c>
      <c r="G190" t="s">
        <v>636</v>
      </c>
      <c r="H190">
        <v>2</v>
      </c>
      <c r="I190">
        <v>0</v>
      </c>
      <c r="J190" t="s">
        <v>795</v>
      </c>
      <c r="K190">
        <f>IF(AND(H190=OFICIAL!F41, I190=OFICIAL!G41), 5, 0)</f>
        <v>0</v>
      </c>
    </row>
    <row r="191" spans="1:11" x14ac:dyDescent="0.25">
      <c r="A191" t="s">
        <v>65</v>
      </c>
      <c r="B191" t="s">
        <v>90</v>
      </c>
      <c r="C191" s="4" t="s">
        <v>637</v>
      </c>
      <c r="D191" t="s">
        <v>47</v>
      </c>
      <c r="E191" t="s">
        <v>48</v>
      </c>
      <c r="F191" t="s">
        <v>50</v>
      </c>
      <c r="G191" t="s">
        <v>638</v>
      </c>
      <c r="H191">
        <v>2</v>
      </c>
      <c r="I191">
        <v>0</v>
      </c>
      <c r="J191" t="s">
        <v>797</v>
      </c>
      <c r="K191">
        <f>IF(AND(H191=OFICIAL!F42, I191=OFICIAL!G42), 5, 0)</f>
        <v>5</v>
      </c>
    </row>
    <row r="192" spans="1:11" x14ac:dyDescent="0.25">
      <c r="A192" t="s">
        <v>65</v>
      </c>
      <c r="B192" t="s">
        <v>90</v>
      </c>
      <c r="C192" t="s">
        <v>639</v>
      </c>
      <c r="D192" t="s">
        <v>42</v>
      </c>
      <c r="E192" t="s">
        <v>43</v>
      </c>
      <c r="F192" t="s">
        <v>45</v>
      </c>
      <c r="G192" t="s">
        <v>640</v>
      </c>
      <c r="H192">
        <v>3</v>
      </c>
      <c r="I192">
        <v>0</v>
      </c>
      <c r="J192" t="s">
        <v>796</v>
      </c>
      <c r="K192">
        <f>IF(AND(H192=OFICIAL!F43, I192=OFICIAL!G43), 5, 0)</f>
        <v>5</v>
      </c>
    </row>
    <row r="193" spans="1:11" x14ac:dyDescent="0.25">
      <c r="A193" t="s">
        <v>65</v>
      </c>
      <c r="B193" t="s">
        <v>90</v>
      </c>
      <c r="C193" t="s">
        <v>641</v>
      </c>
      <c r="D193" t="s">
        <v>42</v>
      </c>
      <c r="E193" t="s">
        <v>44</v>
      </c>
      <c r="F193" t="s">
        <v>46</v>
      </c>
      <c r="G193" t="s">
        <v>642</v>
      </c>
      <c r="H193">
        <v>1</v>
      </c>
      <c r="I193">
        <v>1</v>
      </c>
      <c r="J193" t="s">
        <v>796</v>
      </c>
      <c r="K193">
        <f>IF(AND(H193=OFICIAL!F44, I193=OFICIAL!G44), 5, 0)</f>
        <v>0</v>
      </c>
    </row>
    <row r="194" spans="1:11" x14ac:dyDescent="0.25">
      <c r="A194" t="s">
        <v>65</v>
      </c>
      <c r="B194" t="s">
        <v>90</v>
      </c>
      <c r="C194" t="s">
        <v>643</v>
      </c>
      <c r="D194" t="s">
        <v>47</v>
      </c>
      <c r="E194" t="s">
        <v>49</v>
      </c>
      <c r="F194" t="s">
        <v>51</v>
      </c>
      <c r="G194" t="s">
        <v>644</v>
      </c>
      <c r="H194">
        <v>1</v>
      </c>
      <c r="I194">
        <v>0</v>
      </c>
      <c r="J194" t="s">
        <v>797</v>
      </c>
      <c r="K194">
        <f>IF(AND(H194=OFICIAL!F45, I194=OFICIAL!G45), 5, 0)</f>
        <v>0</v>
      </c>
    </row>
    <row r="195" spans="1:11" x14ac:dyDescent="0.25">
      <c r="A195" t="s">
        <v>65</v>
      </c>
      <c r="B195" t="s">
        <v>90</v>
      </c>
      <c r="C195" t="s">
        <v>645</v>
      </c>
      <c r="D195" t="s">
        <v>52</v>
      </c>
      <c r="E195" t="s">
        <v>53</v>
      </c>
      <c r="F195" t="s">
        <v>60</v>
      </c>
      <c r="G195" t="s">
        <v>646</v>
      </c>
      <c r="H195">
        <v>3</v>
      </c>
      <c r="I195">
        <v>0</v>
      </c>
      <c r="J195" t="s">
        <v>798</v>
      </c>
      <c r="K195">
        <f>IF(AND(H195=OFICIAL!F46, I195=OFICIAL!G46), 5, 0)</f>
        <v>0</v>
      </c>
    </row>
    <row r="196" spans="1:11" x14ac:dyDescent="0.25">
      <c r="A196" t="s">
        <v>65</v>
      </c>
      <c r="B196" t="s">
        <v>90</v>
      </c>
      <c r="C196" t="s">
        <v>647</v>
      </c>
      <c r="D196" t="s">
        <v>55</v>
      </c>
      <c r="E196" t="s">
        <v>56</v>
      </c>
      <c r="F196" t="s">
        <v>58</v>
      </c>
      <c r="G196" t="s">
        <v>648</v>
      </c>
      <c r="H196">
        <v>3</v>
      </c>
      <c r="I196">
        <v>0</v>
      </c>
      <c r="J196" t="s">
        <v>799</v>
      </c>
      <c r="K196">
        <f>IF(AND(H196=OFICIAL!F47, I196=OFICIAL!G47), 5, 0)</f>
        <v>0</v>
      </c>
    </row>
    <row r="197" spans="1:11" x14ac:dyDescent="0.25">
      <c r="A197" t="s">
        <v>65</v>
      </c>
      <c r="B197" t="s">
        <v>90</v>
      </c>
      <c r="C197" t="s">
        <v>649</v>
      </c>
      <c r="D197" t="s">
        <v>55</v>
      </c>
      <c r="E197" t="s">
        <v>57</v>
      </c>
      <c r="F197" t="s">
        <v>59</v>
      </c>
      <c r="G197" t="s">
        <v>650</v>
      </c>
      <c r="H197">
        <v>2</v>
      </c>
      <c r="I197">
        <v>0</v>
      </c>
      <c r="J197" t="s">
        <v>799</v>
      </c>
      <c r="K197">
        <f>IF(AND(H197=OFICIAL!F48, I197=OFICIAL!G48), 5, 0)</f>
        <v>0</v>
      </c>
    </row>
    <row r="198" spans="1:11" x14ac:dyDescent="0.25">
      <c r="A198" t="s">
        <v>65</v>
      </c>
      <c r="B198" t="s">
        <v>90</v>
      </c>
      <c r="C198" t="s">
        <v>651</v>
      </c>
      <c r="D198" t="s">
        <v>52</v>
      </c>
      <c r="E198" t="s">
        <v>54</v>
      </c>
      <c r="F198" t="s">
        <v>61</v>
      </c>
      <c r="G198" t="s">
        <v>652</v>
      </c>
      <c r="H198">
        <v>1</v>
      </c>
      <c r="I198">
        <v>2</v>
      </c>
      <c r="J198" t="s">
        <v>798</v>
      </c>
      <c r="K198">
        <f>IF(AND(H198=OFICIAL!F49, I198=OFICIAL!G49), 5, 0)</f>
        <v>0</v>
      </c>
    </row>
    <row r="199" spans="1:11" x14ac:dyDescent="0.25">
      <c r="A199" t="s">
        <v>65</v>
      </c>
      <c r="B199" t="s">
        <v>90</v>
      </c>
      <c r="C199" t="s">
        <v>653</v>
      </c>
      <c r="D199" t="s">
        <v>7</v>
      </c>
      <c r="E199" t="s">
        <v>14</v>
      </c>
      <c r="F199" t="s">
        <v>8</v>
      </c>
      <c r="G199" t="s">
        <v>654</v>
      </c>
      <c r="H199">
        <v>1</v>
      </c>
      <c r="I199">
        <v>1</v>
      </c>
      <c r="J199" t="s">
        <v>789</v>
      </c>
      <c r="K199">
        <f>IF(AND(H199=OFICIAL!F50, I199=OFICIAL!G50), 5, 0)</f>
        <v>0</v>
      </c>
    </row>
    <row r="200" spans="1:11" x14ac:dyDescent="0.25">
      <c r="A200" t="s">
        <v>65</v>
      </c>
      <c r="B200" t="s">
        <v>90</v>
      </c>
      <c r="C200" t="s">
        <v>655</v>
      </c>
      <c r="D200" t="s">
        <v>7</v>
      </c>
      <c r="E200" t="s">
        <v>9</v>
      </c>
      <c r="F200" t="s">
        <v>13</v>
      </c>
      <c r="G200" t="s">
        <v>654</v>
      </c>
      <c r="H200">
        <v>1</v>
      </c>
      <c r="I200">
        <v>0</v>
      </c>
      <c r="J200" t="s">
        <v>789</v>
      </c>
      <c r="K200">
        <f>IF(AND(H200=OFICIAL!F51, I200=OFICIAL!G51), 5, 0)</f>
        <v>0</v>
      </c>
    </row>
    <row r="201" spans="1:11" x14ac:dyDescent="0.25">
      <c r="A201" t="s">
        <v>65</v>
      </c>
      <c r="B201" t="s">
        <v>90</v>
      </c>
      <c r="C201" t="s">
        <v>656</v>
      </c>
      <c r="D201" t="s">
        <v>15</v>
      </c>
      <c r="E201" t="s">
        <v>19</v>
      </c>
      <c r="F201" t="s">
        <v>16</v>
      </c>
      <c r="G201" t="s">
        <v>657</v>
      </c>
      <c r="H201">
        <v>0</v>
      </c>
      <c r="I201">
        <v>2</v>
      </c>
      <c r="J201" t="s">
        <v>791</v>
      </c>
      <c r="K201">
        <f>IF(AND(H201=OFICIAL!F52, I201=OFICIAL!G52), 5, 0)</f>
        <v>0</v>
      </c>
    </row>
    <row r="202" spans="1:11" x14ac:dyDescent="0.25">
      <c r="A202" t="s">
        <v>65</v>
      </c>
      <c r="B202" t="s">
        <v>90</v>
      </c>
      <c r="C202" t="s">
        <v>658</v>
      </c>
      <c r="D202" t="s">
        <v>15</v>
      </c>
      <c r="E202" t="s">
        <v>17</v>
      </c>
      <c r="F202" t="s">
        <v>18</v>
      </c>
      <c r="G202" t="s">
        <v>657</v>
      </c>
      <c r="H202">
        <v>2</v>
      </c>
      <c r="I202">
        <v>0</v>
      </c>
      <c r="J202" t="s">
        <v>791</v>
      </c>
      <c r="K202">
        <f>IF(AND(H202=OFICIAL!F53, I202=OFICIAL!G53), 5, 0)</f>
        <v>0</v>
      </c>
    </row>
    <row r="203" spans="1:11" x14ac:dyDescent="0.25">
      <c r="A203" t="s">
        <v>65</v>
      </c>
      <c r="B203" t="s">
        <v>90</v>
      </c>
      <c r="C203" t="s">
        <v>661</v>
      </c>
      <c r="D203" t="s">
        <v>2</v>
      </c>
      <c r="E203" t="s">
        <v>6</v>
      </c>
      <c r="F203" t="s">
        <v>3</v>
      </c>
      <c r="G203" t="s">
        <v>660</v>
      </c>
      <c r="H203">
        <v>0</v>
      </c>
      <c r="I203">
        <v>2</v>
      </c>
      <c r="J203" t="s">
        <v>788</v>
      </c>
      <c r="K203">
        <f>IF(AND(H203=OFICIAL!F54, I203=OFICIAL!G54), 5, 0)</f>
        <v>0</v>
      </c>
    </row>
    <row r="204" spans="1:11" x14ac:dyDescent="0.25">
      <c r="A204" t="s">
        <v>65</v>
      </c>
      <c r="B204" t="s">
        <v>90</v>
      </c>
      <c r="C204" t="s">
        <v>659</v>
      </c>
      <c r="D204" t="s">
        <v>2</v>
      </c>
      <c r="E204" t="s">
        <v>5</v>
      </c>
      <c r="F204" t="s">
        <v>4</v>
      </c>
      <c r="G204" t="s">
        <v>660</v>
      </c>
      <c r="H204">
        <v>1</v>
      </c>
      <c r="I204">
        <v>0</v>
      </c>
      <c r="J204" t="s">
        <v>788</v>
      </c>
      <c r="K204">
        <f>IF(AND(H204=OFICIAL!F55, I204=OFICIAL!G55), 5, 0)</f>
        <v>0</v>
      </c>
    </row>
    <row r="205" spans="1:11" x14ac:dyDescent="0.25">
      <c r="A205" t="s">
        <v>65</v>
      </c>
      <c r="B205" t="s">
        <v>90</v>
      </c>
      <c r="C205" t="s">
        <v>664</v>
      </c>
      <c r="D205" t="s">
        <v>22</v>
      </c>
      <c r="E205" t="s">
        <v>24</v>
      </c>
      <c r="F205" t="s">
        <v>28</v>
      </c>
      <c r="G205" t="s">
        <v>663</v>
      </c>
      <c r="H205">
        <v>0</v>
      </c>
      <c r="I205">
        <v>1</v>
      </c>
      <c r="J205" t="s">
        <v>792</v>
      </c>
      <c r="K205">
        <f>IF(AND(H205=OFICIAL!F56, I205=OFICIAL!G56), 5, 0)</f>
        <v>0</v>
      </c>
    </row>
    <row r="206" spans="1:11" x14ac:dyDescent="0.25">
      <c r="A206" t="s">
        <v>65</v>
      </c>
      <c r="B206" t="s">
        <v>90</v>
      </c>
      <c r="C206" t="s">
        <v>662</v>
      </c>
      <c r="D206" t="s">
        <v>22</v>
      </c>
      <c r="E206" t="s">
        <v>29</v>
      </c>
      <c r="F206" t="s">
        <v>23</v>
      </c>
      <c r="G206" t="s">
        <v>663</v>
      </c>
      <c r="H206">
        <v>0</v>
      </c>
      <c r="I206">
        <v>2</v>
      </c>
      <c r="J206" t="s">
        <v>792</v>
      </c>
      <c r="K206">
        <f>IF(AND(H206=OFICIAL!F57, I206=OFICIAL!G57), 5, 0)</f>
        <v>0</v>
      </c>
    </row>
    <row r="207" spans="1:11" x14ac:dyDescent="0.25">
      <c r="A207" t="s">
        <v>65</v>
      </c>
      <c r="B207" t="s">
        <v>90</v>
      </c>
      <c r="C207" t="s">
        <v>667</v>
      </c>
      <c r="D207" t="s">
        <v>25</v>
      </c>
      <c r="E207" t="s">
        <v>31</v>
      </c>
      <c r="F207" t="s">
        <v>26</v>
      </c>
      <c r="G207" t="s">
        <v>666</v>
      </c>
      <c r="H207">
        <v>0</v>
      </c>
      <c r="I207">
        <v>2</v>
      </c>
      <c r="J207" t="s">
        <v>793</v>
      </c>
      <c r="K207">
        <f>IF(AND(H207=OFICIAL!F58, I207=OFICIAL!G58), 5, 0)</f>
        <v>0</v>
      </c>
    </row>
    <row r="208" spans="1:11" x14ac:dyDescent="0.25">
      <c r="A208" t="s">
        <v>65</v>
      </c>
      <c r="B208" t="s">
        <v>90</v>
      </c>
      <c r="C208" t="s">
        <v>665</v>
      </c>
      <c r="D208" t="s">
        <v>25</v>
      </c>
      <c r="E208" t="s">
        <v>27</v>
      </c>
      <c r="F208" t="s">
        <v>30</v>
      </c>
      <c r="G208" t="s">
        <v>666</v>
      </c>
      <c r="H208">
        <v>1</v>
      </c>
      <c r="I208">
        <v>1</v>
      </c>
      <c r="J208" t="s">
        <v>793</v>
      </c>
      <c r="K208">
        <f>IF(AND(H208=OFICIAL!F59, I208=OFICIAL!G59), 5, 0)</f>
        <v>0</v>
      </c>
    </row>
    <row r="209" spans="1:12" x14ac:dyDescent="0.25">
      <c r="A209" t="s">
        <v>65</v>
      </c>
      <c r="B209" t="s">
        <v>90</v>
      </c>
      <c r="C209" t="s">
        <v>668</v>
      </c>
      <c r="D209" t="s">
        <v>10</v>
      </c>
      <c r="E209" t="s">
        <v>21</v>
      </c>
      <c r="F209" t="s">
        <v>11</v>
      </c>
      <c r="G209" t="s">
        <v>669</v>
      </c>
      <c r="H209">
        <v>0</v>
      </c>
      <c r="I209">
        <v>2</v>
      </c>
      <c r="J209" t="s">
        <v>790</v>
      </c>
      <c r="K209">
        <f>IF(AND(H209=OFICIAL!F60, I209=OFICIAL!G60), 5, 0)</f>
        <v>0</v>
      </c>
    </row>
    <row r="210" spans="1:12" x14ac:dyDescent="0.25">
      <c r="A210" t="s">
        <v>65</v>
      </c>
      <c r="B210" t="s">
        <v>90</v>
      </c>
      <c r="C210" t="s">
        <v>670</v>
      </c>
      <c r="D210" t="s">
        <v>10</v>
      </c>
      <c r="E210" t="s">
        <v>12</v>
      </c>
      <c r="F210" t="s">
        <v>20</v>
      </c>
      <c r="G210" t="s">
        <v>669</v>
      </c>
      <c r="H210">
        <v>1</v>
      </c>
      <c r="I210">
        <v>1</v>
      </c>
      <c r="J210" t="s">
        <v>790</v>
      </c>
      <c r="K210">
        <f>IF(AND(H210=OFICIAL!F61, I210=OFICIAL!G61), 5, 0)</f>
        <v>0</v>
      </c>
    </row>
    <row r="211" spans="1:12" x14ac:dyDescent="0.25">
      <c r="A211" t="s">
        <v>65</v>
      </c>
      <c r="B211" t="s">
        <v>90</v>
      </c>
      <c r="C211" t="s">
        <v>673</v>
      </c>
      <c r="D211" t="s">
        <v>42</v>
      </c>
      <c r="E211" t="s">
        <v>44</v>
      </c>
      <c r="F211" t="s">
        <v>45</v>
      </c>
      <c r="G211" t="s">
        <v>672</v>
      </c>
      <c r="H211">
        <v>2</v>
      </c>
      <c r="I211">
        <v>0</v>
      </c>
      <c r="J211" t="s">
        <v>796</v>
      </c>
      <c r="K211">
        <f>IF(AND(H211=OFICIAL!F62, I211=OFICIAL!G62), 5, 0)</f>
        <v>0</v>
      </c>
    </row>
    <row r="212" spans="1:12" x14ac:dyDescent="0.25">
      <c r="A212" t="s">
        <v>65</v>
      </c>
      <c r="B212" t="s">
        <v>90</v>
      </c>
      <c r="C212" t="s">
        <v>671</v>
      </c>
      <c r="D212" t="s">
        <v>42</v>
      </c>
      <c r="E212" t="s">
        <v>46</v>
      </c>
      <c r="F212" t="s">
        <v>43</v>
      </c>
      <c r="G212" t="s">
        <v>672</v>
      </c>
      <c r="H212">
        <v>0</v>
      </c>
      <c r="I212">
        <v>2</v>
      </c>
      <c r="J212" t="s">
        <v>796</v>
      </c>
      <c r="K212">
        <f>IF(AND(H212=OFICIAL!F63, I212=OFICIAL!G63), 5, 0)</f>
        <v>0</v>
      </c>
    </row>
    <row r="213" spans="1:12" x14ac:dyDescent="0.25">
      <c r="A213" t="s">
        <v>65</v>
      </c>
      <c r="B213" t="s">
        <v>90</v>
      </c>
      <c r="C213" t="s">
        <v>674</v>
      </c>
      <c r="D213" t="s">
        <v>32</v>
      </c>
      <c r="E213" t="s">
        <v>39</v>
      </c>
      <c r="F213" t="s">
        <v>33</v>
      </c>
      <c r="G213" t="s">
        <v>675</v>
      </c>
      <c r="H213">
        <v>1</v>
      </c>
      <c r="I213">
        <v>2</v>
      </c>
      <c r="J213" t="s">
        <v>794</v>
      </c>
      <c r="K213">
        <f>IF(AND(H213=OFICIAL!F64, I213=OFICIAL!G64), 5, 0)</f>
        <v>0</v>
      </c>
    </row>
    <row r="214" spans="1:12" x14ac:dyDescent="0.25">
      <c r="A214" t="s">
        <v>65</v>
      </c>
      <c r="B214" t="s">
        <v>90</v>
      </c>
      <c r="C214" t="s">
        <v>676</v>
      </c>
      <c r="D214" t="s">
        <v>32</v>
      </c>
      <c r="E214" t="s">
        <v>34</v>
      </c>
      <c r="F214" t="s">
        <v>38</v>
      </c>
      <c r="G214" t="s">
        <v>675</v>
      </c>
      <c r="H214">
        <v>1</v>
      </c>
      <c r="I214">
        <v>1</v>
      </c>
      <c r="J214" t="s">
        <v>794</v>
      </c>
      <c r="K214">
        <f>IF(AND(H214=OFICIAL!F65, I214=OFICIAL!G65), 5, 0)</f>
        <v>0</v>
      </c>
    </row>
    <row r="215" spans="1:12" x14ac:dyDescent="0.25">
      <c r="A215" t="s">
        <v>65</v>
      </c>
      <c r="B215" t="s">
        <v>90</v>
      </c>
      <c r="C215" t="s">
        <v>679</v>
      </c>
      <c r="D215" t="s">
        <v>35</v>
      </c>
      <c r="E215" t="s">
        <v>41</v>
      </c>
      <c r="F215" t="s">
        <v>36</v>
      </c>
      <c r="G215" t="s">
        <v>678</v>
      </c>
      <c r="H215">
        <v>0</v>
      </c>
      <c r="I215">
        <v>3</v>
      </c>
      <c r="J215" t="s">
        <v>795</v>
      </c>
      <c r="K215">
        <f>IF(AND(H215=OFICIAL!F66, I215=OFICIAL!G66), 5, 0)</f>
        <v>0</v>
      </c>
    </row>
    <row r="216" spans="1:12" x14ac:dyDescent="0.25">
      <c r="A216" t="s">
        <v>65</v>
      </c>
      <c r="B216" t="s">
        <v>90</v>
      </c>
      <c r="C216" t="s">
        <v>677</v>
      </c>
      <c r="D216" t="s">
        <v>35</v>
      </c>
      <c r="E216" t="s">
        <v>37</v>
      </c>
      <c r="F216" t="s">
        <v>40</v>
      </c>
      <c r="G216" t="s">
        <v>678</v>
      </c>
      <c r="H216">
        <v>1</v>
      </c>
      <c r="I216">
        <v>1</v>
      </c>
      <c r="J216" t="s">
        <v>795</v>
      </c>
      <c r="K216">
        <f>IF(AND(H216=OFICIAL!F67, I216=OFICIAL!G67), 5, 0)</f>
        <v>0</v>
      </c>
    </row>
    <row r="217" spans="1:12" x14ac:dyDescent="0.25">
      <c r="A217" t="s">
        <v>65</v>
      </c>
      <c r="B217" t="s">
        <v>90</v>
      </c>
      <c r="C217" t="s">
        <v>682</v>
      </c>
      <c r="D217" t="s">
        <v>55</v>
      </c>
      <c r="E217" t="s">
        <v>57</v>
      </c>
      <c r="F217" t="s">
        <v>58</v>
      </c>
      <c r="G217" t="s">
        <v>681</v>
      </c>
      <c r="H217">
        <v>2</v>
      </c>
      <c r="I217">
        <v>0</v>
      </c>
      <c r="J217" t="s">
        <v>799</v>
      </c>
      <c r="K217">
        <f>IF(AND(H217=OFICIAL!F68, I217=OFICIAL!G68), 5, 0)</f>
        <v>0</v>
      </c>
    </row>
    <row r="218" spans="1:12" x14ac:dyDescent="0.25">
      <c r="A218" t="s">
        <v>65</v>
      </c>
      <c r="B218" t="s">
        <v>90</v>
      </c>
      <c r="C218" t="s">
        <v>680</v>
      </c>
      <c r="D218" t="s">
        <v>55</v>
      </c>
      <c r="E218" t="s">
        <v>59</v>
      </c>
      <c r="F218" t="s">
        <v>56</v>
      </c>
      <c r="G218" t="s">
        <v>681</v>
      </c>
      <c r="H218">
        <v>1</v>
      </c>
      <c r="I218">
        <v>4</v>
      </c>
      <c r="J218" t="s">
        <v>799</v>
      </c>
      <c r="K218">
        <f>IF(AND(H218=OFICIAL!F69, I218=OFICIAL!G69), 5, 0)</f>
        <v>0</v>
      </c>
    </row>
    <row r="219" spans="1:12" x14ac:dyDescent="0.25">
      <c r="A219" t="s">
        <v>65</v>
      </c>
      <c r="B219" t="s">
        <v>90</v>
      </c>
      <c r="C219" t="s">
        <v>683</v>
      </c>
      <c r="D219" t="s">
        <v>52</v>
      </c>
      <c r="E219" t="s">
        <v>54</v>
      </c>
      <c r="F219" t="s">
        <v>60</v>
      </c>
      <c r="G219" t="s">
        <v>684</v>
      </c>
      <c r="H219">
        <v>1</v>
      </c>
      <c r="I219">
        <v>1</v>
      </c>
      <c r="J219" t="s">
        <v>798</v>
      </c>
      <c r="K219">
        <f>IF(AND(H219=OFICIAL!F70, I219=OFICIAL!G70), 5, 0)</f>
        <v>0</v>
      </c>
    </row>
    <row r="220" spans="1:12" x14ac:dyDescent="0.25">
      <c r="A220" t="s">
        <v>65</v>
      </c>
      <c r="B220" t="s">
        <v>90</v>
      </c>
      <c r="C220" t="s">
        <v>685</v>
      </c>
      <c r="D220" t="s">
        <v>52</v>
      </c>
      <c r="E220" t="s">
        <v>61</v>
      </c>
      <c r="F220" t="s">
        <v>53</v>
      </c>
      <c r="G220" t="s">
        <v>684</v>
      </c>
      <c r="H220">
        <v>1</v>
      </c>
      <c r="I220">
        <v>2</v>
      </c>
      <c r="J220" t="s">
        <v>798</v>
      </c>
      <c r="K220">
        <f>IF(AND(H220=OFICIAL!F71, I220=OFICIAL!G71), 5, 0)</f>
        <v>0</v>
      </c>
    </row>
    <row r="221" spans="1:12" x14ac:dyDescent="0.25">
      <c r="A221" t="s">
        <v>65</v>
      </c>
      <c r="B221" t="s">
        <v>90</v>
      </c>
      <c r="C221" s="4" t="s">
        <v>688</v>
      </c>
      <c r="D221" t="s">
        <v>47</v>
      </c>
      <c r="E221" t="s">
        <v>51</v>
      </c>
      <c r="F221" t="s">
        <v>48</v>
      </c>
      <c r="G221" t="s">
        <v>687</v>
      </c>
      <c r="H221">
        <v>0</v>
      </c>
      <c r="I221">
        <v>3</v>
      </c>
      <c r="J221" t="s">
        <v>797</v>
      </c>
      <c r="K221">
        <f>IF(AND(H221=OFICIAL!F72, I221=OFICIAL!G72), 5, 0)</f>
        <v>0</v>
      </c>
    </row>
    <row r="222" spans="1:12" x14ac:dyDescent="0.25">
      <c r="A222" t="s">
        <v>65</v>
      </c>
      <c r="B222" t="s">
        <v>90</v>
      </c>
      <c r="C222" t="s">
        <v>686</v>
      </c>
      <c r="D222" t="s">
        <v>47</v>
      </c>
      <c r="E222" t="s">
        <v>49</v>
      </c>
      <c r="F222" t="s">
        <v>50</v>
      </c>
      <c r="G222" t="s">
        <v>687</v>
      </c>
      <c r="H222">
        <v>1</v>
      </c>
      <c r="I222">
        <v>2</v>
      </c>
      <c r="J222" t="s">
        <v>797</v>
      </c>
      <c r="K222">
        <f>IF(AND(H222=OFICIAL!F73, I222=OFICIAL!G73), 5, 0)</f>
        <v>0</v>
      </c>
    </row>
    <row r="224" spans="1:12" ht="18" customHeight="1" thickBot="1" x14ac:dyDescent="0.3">
      <c r="A224" s="23" t="s">
        <v>66</v>
      </c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</row>
    <row r="225" spans="1:12" ht="15.75" thickBot="1" x14ac:dyDescent="0.3">
      <c r="A225" t="s">
        <v>67</v>
      </c>
      <c r="B225" t="s">
        <v>91</v>
      </c>
      <c r="C225" t="s">
        <v>554</v>
      </c>
      <c r="D225" t="s">
        <v>2</v>
      </c>
      <c r="E225" t="s">
        <v>3</v>
      </c>
      <c r="F225" t="s">
        <v>4</v>
      </c>
      <c r="G225" t="s">
        <v>555</v>
      </c>
      <c r="H225">
        <v>2</v>
      </c>
      <c r="I225">
        <v>0</v>
      </c>
      <c r="J225" t="s">
        <v>800</v>
      </c>
      <c r="K225">
        <f>IF(AND(H225=OFICIAL!F2, I225=OFICIAL!G2), 5, 0)</f>
        <v>5</v>
      </c>
      <c r="L225" s="6">
        <f>SUM(K225:K296)</f>
        <v>30</v>
      </c>
    </row>
    <row r="226" spans="1:12" x14ac:dyDescent="0.25">
      <c r="A226" t="s">
        <v>67</v>
      </c>
      <c r="B226" t="s">
        <v>91</v>
      </c>
      <c r="C226" t="s">
        <v>557</v>
      </c>
      <c r="D226" t="s">
        <v>2</v>
      </c>
      <c r="E226" t="s">
        <v>5</v>
      </c>
      <c r="F226" t="s">
        <v>6</v>
      </c>
      <c r="G226" t="s">
        <v>558</v>
      </c>
      <c r="H226">
        <v>1</v>
      </c>
      <c r="I226">
        <v>1</v>
      </c>
      <c r="J226" t="s">
        <v>800</v>
      </c>
      <c r="K226">
        <f>IF(AND(H226=OFICIAL!F3, I226=OFICIAL!G3), 5, 0)</f>
        <v>0</v>
      </c>
    </row>
    <row r="227" spans="1:12" x14ac:dyDescent="0.25">
      <c r="A227" t="s">
        <v>67</v>
      </c>
      <c r="B227" t="s">
        <v>91</v>
      </c>
      <c r="C227" t="s">
        <v>559</v>
      </c>
      <c r="D227" t="s">
        <v>7</v>
      </c>
      <c r="E227" t="s">
        <v>8</v>
      </c>
      <c r="F227" t="s">
        <v>9</v>
      </c>
      <c r="G227" t="s">
        <v>560</v>
      </c>
      <c r="H227">
        <v>2</v>
      </c>
      <c r="I227">
        <v>1</v>
      </c>
      <c r="J227" t="s">
        <v>801</v>
      </c>
      <c r="K227">
        <f>IF(AND(H227=OFICIAL!F4, I227=OFICIAL!G4), 5, 0)</f>
        <v>0</v>
      </c>
    </row>
    <row r="228" spans="1:12" x14ac:dyDescent="0.25">
      <c r="A228" t="s">
        <v>67</v>
      </c>
      <c r="B228" t="s">
        <v>91</v>
      </c>
      <c r="C228" t="s">
        <v>561</v>
      </c>
      <c r="D228" t="s">
        <v>10</v>
      </c>
      <c r="E228" t="s">
        <v>11</v>
      </c>
      <c r="F228" t="s">
        <v>12</v>
      </c>
      <c r="G228" t="s">
        <v>562</v>
      </c>
      <c r="H228">
        <v>2</v>
      </c>
      <c r="I228">
        <v>1</v>
      </c>
      <c r="J228" t="s">
        <v>802</v>
      </c>
      <c r="K228">
        <f>IF(AND(H228=OFICIAL!F5, I228=OFICIAL!G5), 5, 0)</f>
        <v>0</v>
      </c>
    </row>
    <row r="229" spans="1:12" x14ac:dyDescent="0.25">
      <c r="A229" t="s">
        <v>67</v>
      </c>
      <c r="B229" t="s">
        <v>91</v>
      </c>
      <c r="C229" t="s">
        <v>563</v>
      </c>
      <c r="D229" t="s">
        <v>7</v>
      </c>
      <c r="E229" t="s">
        <v>13</v>
      </c>
      <c r="F229" t="s">
        <v>14</v>
      </c>
      <c r="G229" t="s">
        <v>564</v>
      </c>
      <c r="H229">
        <v>0</v>
      </c>
      <c r="I229">
        <v>2</v>
      </c>
      <c r="J229" t="s">
        <v>801</v>
      </c>
      <c r="K229">
        <f>IF(AND(H229=OFICIAL!F6, I229=OFICIAL!G6), 5, 0)</f>
        <v>0</v>
      </c>
    </row>
    <row r="230" spans="1:12" x14ac:dyDescent="0.25">
      <c r="A230" t="s">
        <v>67</v>
      </c>
      <c r="B230" t="s">
        <v>91</v>
      </c>
      <c r="C230" t="s">
        <v>565</v>
      </c>
      <c r="D230" t="s">
        <v>15</v>
      </c>
      <c r="E230" t="s">
        <v>16</v>
      </c>
      <c r="F230" t="s">
        <v>17</v>
      </c>
      <c r="G230" t="s">
        <v>566</v>
      </c>
      <c r="H230">
        <v>2</v>
      </c>
      <c r="I230">
        <v>1</v>
      </c>
      <c r="J230" t="s">
        <v>803</v>
      </c>
      <c r="K230">
        <f>IF(AND(H230=OFICIAL!F7, I230=OFICIAL!G7), 5, 0)</f>
        <v>0</v>
      </c>
    </row>
    <row r="231" spans="1:12" x14ac:dyDescent="0.25">
      <c r="A231" t="s">
        <v>67</v>
      </c>
      <c r="B231" t="s">
        <v>91</v>
      </c>
      <c r="C231" t="s">
        <v>567</v>
      </c>
      <c r="D231" t="s">
        <v>15</v>
      </c>
      <c r="E231" t="s">
        <v>18</v>
      </c>
      <c r="F231" t="s">
        <v>19</v>
      </c>
      <c r="G231" t="s">
        <v>568</v>
      </c>
      <c r="H231">
        <v>0</v>
      </c>
      <c r="I231">
        <v>2</v>
      </c>
      <c r="J231" t="s">
        <v>803</v>
      </c>
      <c r="K231">
        <f>IF(AND(H231=OFICIAL!F8, I231=OFICIAL!G8), 5, 0)</f>
        <v>0</v>
      </c>
    </row>
    <row r="232" spans="1:12" x14ac:dyDescent="0.25">
      <c r="A232" t="s">
        <v>67</v>
      </c>
      <c r="B232" t="s">
        <v>91</v>
      </c>
      <c r="C232" t="s">
        <v>569</v>
      </c>
      <c r="D232" t="s">
        <v>10</v>
      </c>
      <c r="E232" t="s">
        <v>20</v>
      </c>
      <c r="F232" t="s">
        <v>21</v>
      </c>
      <c r="G232" t="s">
        <v>570</v>
      </c>
      <c r="H232">
        <v>1</v>
      </c>
      <c r="I232">
        <v>2</v>
      </c>
      <c r="J232" t="s">
        <v>802</v>
      </c>
      <c r="K232">
        <f>IF(AND(H232=OFICIAL!F9, I232=OFICIAL!G9), 5, 0)</f>
        <v>0</v>
      </c>
    </row>
    <row r="233" spans="1:12" x14ac:dyDescent="0.25">
      <c r="A233" t="s">
        <v>67</v>
      </c>
      <c r="B233" t="s">
        <v>91</v>
      </c>
      <c r="C233" t="s">
        <v>571</v>
      </c>
      <c r="D233" t="s">
        <v>22</v>
      </c>
      <c r="E233" t="s">
        <v>23</v>
      </c>
      <c r="F233" t="s">
        <v>24</v>
      </c>
      <c r="G233" t="s">
        <v>572</v>
      </c>
      <c r="H233">
        <v>4</v>
      </c>
      <c r="I233">
        <v>0</v>
      </c>
      <c r="J233" t="s">
        <v>804</v>
      </c>
      <c r="K233">
        <f>IF(AND(H233=OFICIAL!F10, I233=OFICIAL!G10), 5, 0)</f>
        <v>0</v>
      </c>
    </row>
    <row r="234" spans="1:12" x14ac:dyDescent="0.25">
      <c r="A234" t="s">
        <v>67</v>
      </c>
      <c r="B234" t="s">
        <v>91</v>
      </c>
      <c r="C234" t="s">
        <v>573</v>
      </c>
      <c r="D234" t="s">
        <v>25</v>
      </c>
      <c r="E234" t="s">
        <v>26</v>
      </c>
      <c r="F234" t="s">
        <v>27</v>
      </c>
      <c r="G234" t="s">
        <v>574</v>
      </c>
      <c r="H234">
        <v>1</v>
      </c>
      <c r="I234">
        <v>1</v>
      </c>
      <c r="J234" t="s">
        <v>805</v>
      </c>
      <c r="K234">
        <f>IF(AND(H234=OFICIAL!F11, I234=OFICIAL!G11), 5, 0)</f>
        <v>0</v>
      </c>
    </row>
    <row r="235" spans="1:12" x14ac:dyDescent="0.25">
      <c r="A235" t="s">
        <v>67</v>
      </c>
      <c r="B235" t="s">
        <v>91</v>
      </c>
      <c r="C235" t="s">
        <v>575</v>
      </c>
      <c r="D235" t="s">
        <v>22</v>
      </c>
      <c r="E235" t="s">
        <v>28</v>
      </c>
      <c r="F235" t="s">
        <v>29</v>
      </c>
      <c r="G235" t="s">
        <v>576</v>
      </c>
      <c r="H235">
        <v>1</v>
      </c>
      <c r="I235">
        <v>1</v>
      </c>
      <c r="J235" t="s">
        <v>804</v>
      </c>
      <c r="K235">
        <f>IF(AND(H235=OFICIAL!F12, I235=OFICIAL!G12), 5, 0)</f>
        <v>0</v>
      </c>
    </row>
    <row r="236" spans="1:12" x14ac:dyDescent="0.25">
      <c r="A236" t="s">
        <v>67</v>
      </c>
      <c r="B236" t="s">
        <v>91</v>
      </c>
      <c r="C236" t="s">
        <v>577</v>
      </c>
      <c r="D236" t="s">
        <v>25</v>
      </c>
      <c r="E236" t="s">
        <v>30</v>
      </c>
      <c r="F236" t="s">
        <v>31</v>
      </c>
      <c r="G236" t="s">
        <v>578</v>
      </c>
      <c r="H236">
        <v>1</v>
      </c>
      <c r="I236">
        <v>0</v>
      </c>
      <c r="J236" t="s">
        <v>805</v>
      </c>
      <c r="K236">
        <f>IF(AND(H236=OFICIAL!F13, I236=OFICIAL!G13), 5, 0)</f>
        <v>0</v>
      </c>
    </row>
    <row r="237" spans="1:12" x14ac:dyDescent="0.25">
      <c r="A237" t="s">
        <v>67</v>
      </c>
      <c r="B237" t="s">
        <v>91</v>
      </c>
      <c r="C237" t="s">
        <v>579</v>
      </c>
      <c r="D237" t="s">
        <v>32</v>
      </c>
      <c r="E237" t="s">
        <v>33</v>
      </c>
      <c r="F237" t="s">
        <v>34</v>
      </c>
      <c r="G237" t="s">
        <v>580</v>
      </c>
      <c r="H237">
        <v>3</v>
      </c>
      <c r="I237">
        <v>0</v>
      </c>
      <c r="J237" t="s">
        <v>806</v>
      </c>
      <c r="K237">
        <f>IF(AND(H237=OFICIAL!F14, I237=OFICIAL!G14), 5, 0)</f>
        <v>0</v>
      </c>
    </row>
    <row r="238" spans="1:12" x14ac:dyDescent="0.25">
      <c r="A238" t="s">
        <v>67</v>
      </c>
      <c r="B238" t="s">
        <v>91</v>
      </c>
      <c r="C238" t="s">
        <v>581</v>
      </c>
      <c r="D238" t="s">
        <v>35</v>
      </c>
      <c r="E238" t="s">
        <v>36</v>
      </c>
      <c r="F238" t="s">
        <v>37</v>
      </c>
      <c r="G238" t="s">
        <v>582</v>
      </c>
      <c r="H238">
        <v>2</v>
      </c>
      <c r="I238">
        <v>1</v>
      </c>
      <c r="J238" t="s">
        <v>807</v>
      </c>
      <c r="K238">
        <f>IF(AND(H238=OFICIAL!F15, I238=OFICIAL!G15), 5, 0)</f>
        <v>0</v>
      </c>
    </row>
    <row r="239" spans="1:12" x14ac:dyDescent="0.25">
      <c r="A239" t="s">
        <v>67</v>
      </c>
      <c r="B239" t="s">
        <v>91</v>
      </c>
      <c r="C239" t="s">
        <v>583</v>
      </c>
      <c r="D239" t="s">
        <v>32</v>
      </c>
      <c r="E239" t="s">
        <v>38</v>
      </c>
      <c r="F239" t="s">
        <v>39</v>
      </c>
      <c r="G239" t="s">
        <v>584</v>
      </c>
      <c r="H239">
        <v>0</v>
      </c>
      <c r="I239">
        <v>2</v>
      </c>
      <c r="J239" t="s">
        <v>806</v>
      </c>
      <c r="K239">
        <f>IF(AND(H239=OFICIAL!F16, I239=OFICIAL!G16), 5, 0)</f>
        <v>0</v>
      </c>
    </row>
    <row r="240" spans="1:12" x14ac:dyDescent="0.25">
      <c r="A240" t="s">
        <v>67</v>
      </c>
      <c r="B240" t="s">
        <v>91</v>
      </c>
      <c r="C240" t="s">
        <v>585</v>
      </c>
      <c r="D240" t="s">
        <v>35</v>
      </c>
      <c r="E240" t="s">
        <v>40</v>
      </c>
      <c r="F240" t="s">
        <v>41</v>
      </c>
      <c r="G240" t="s">
        <v>586</v>
      </c>
      <c r="H240">
        <v>1</v>
      </c>
      <c r="I240">
        <v>0</v>
      </c>
      <c r="J240" t="s">
        <v>807</v>
      </c>
      <c r="K240">
        <f>IF(AND(H240=OFICIAL!F17, I240=OFICIAL!G17), 5, 0)</f>
        <v>0</v>
      </c>
    </row>
    <row r="241" spans="1:11" x14ac:dyDescent="0.25">
      <c r="A241" t="s">
        <v>67</v>
      </c>
      <c r="B241" t="s">
        <v>91</v>
      </c>
      <c r="C241" t="s">
        <v>587</v>
      </c>
      <c r="D241" t="s">
        <v>42</v>
      </c>
      <c r="E241" t="s">
        <v>43</v>
      </c>
      <c r="F241" t="s">
        <v>44</v>
      </c>
      <c r="G241" t="s">
        <v>588</v>
      </c>
      <c r="H241">
        <v>2</v>
      </c>
      <c r="I241">
        <v>1</v>
      </c>
      <c r="J241" t="s">
        <v>808</v>
      </c>
      <c r="K241">
        <f>IF(AND(H241=OFICIAL!F18, I241=OFICIAL!G18), 5, 0)</f>
        <v>0</v>
      </c>
    </row>
    <row r="242" spans="1:11" x14ac:dyDescent="0.25">
      <c r="A242" t="s">
        <v>67</v>
      </c>
      <c r="B242" t="s">
        <v>91</v>
      </c>
      <c r="C242" t="s">
        <v>589</v>
      </c>
      <c r="D242" t="s">
        <v>42</v>
      </c>
      <c r="E242" t="s">
        <v>45</v>
      </c>
      <c r="F242" t="s">
        <v>46</v>
      </c>
      <c r="G242" t="s">
        <v>590</v>
      </c>
      <c r="H242">
        <v>0</v>
      </c>
      <c r="I242">
        <v>2</v>
      </c>
      <c r="J242" t="s">
        <v>808</v>
      </c>
      <c r="K242">
        <f>IF(AND(H242=OFICIAL!F19, I242=OFICIAL!G19), 5, 0)</f>
        <v>0</v>
      </c>
    </row>
    <row r="243" spans="1:11" x14ac:dyDescent="0.25">
      <c r="A243" t="s">
        <v>67</v>
      </c>
      <c r="B243" t="s">
        <v>91</v>
      </c>
      <c r="C243" t="s">
        <v>591</v>
      </c>
      <c r="D243" t="s">
        <v>47</v>
      </c>
      <c r="E243" t="s">
        <v>48</v>
      </c>
      <c r="F243" t="s">
        <v>49</v>
      </c>
      <c r="G243" t="s">
        <v>592</v>
      </c>
      <c r="H243">
        <v>2</v>
      </c>
      <c r="I243">
        <v>0</v>
      </c>
      <c r="J243" t="s">
        <v>809</v>
      </c>
      <c r="K243">
        <f>IF(AND(H243=OFICIAL!F20, I243=OFICIAL!G20), 5, 0)</f>
        <v>0</v>
      </c>
    </row>
    <row r="244" spans="1:11" x14ac:dyDescent="0.25">
      <c r="A244" t="s">
        <v>67</v>
      </c>
      <c r="B244" t="s">
        <v>91</v>
      </c>
      <c r="C244" t="s">
        <v>593</v>
      </c>
      <c r="D244" t="s">
        <v>47</v>
      </c>
      <c r="E244" t="s">
        <v>50</v>
      </c>
      <c r="F244" t="s">
        <v>51</v>
      </c>
      <c r="G244" t="s">
        <v>594</v>
      </c>
      <c r="H244">
        <v>2</v>
      </c>
      <c r="I244">
        <v>0</v>
      </c>
      <c r="J244" t="s">
        <v>809</v>
      </c>
      <c r="K244">
        <f>IF(AND(H244=OFICIAL!F21, I244=OFICIAL!G21), 5, 0)</f>
        <v>0</v>
      </c>
    </row>
    <row r="245" spans="1:11" x14ac:dyDescent="0.25">
      <c r="A245" t="s">
        <v>67</v>
      </c>
      <c r="B245" t="s">
        <v>91</v>
      </c>
      <c r="C245" t="s">
        <v>595</v>
      </c>
      <c r="D245" t="s">
        <v>52</v>
      </c>
      <c r="E245" t="s">
        <v>53</v>
      </c>
      <c r="F245" t="s">
        <v>54</v>
      </c>
      <c r="G245" t="s">
        <v>596</v>
      </c>
      <c r="H245">
        <v>2</v>
      </c>
      <c r="I245">
        <v>0</v>
      </c>
      <c r="J245" t="s">
        <v>810</v>
      </c>
      <c r="K245">
        <f>IF(AND(H245=OFICIAL!F22, I245=OFICIAL!G22), 5, 0)</f>
        <v>0</v>
      </c>
    </row>
    <row r="246" spans="1:11" x14ac:dyDescent="0.25">
      <c r="A246" t="s">
        <v>67</v>
      </c>
      <c r="B246" t="s">
        <v>91</v>
      </c>
      <c r="C246" t="s">
        <v>597</v>
      </c>
      <c r="D246" t="s">
        <v>55</v>
      </c>
      <c r="E246" t="s">
        <v>56</v>
      </c>
      <c r="F246" t="s">
        <v>57</v>
      </c>
      <c r="G246" t="s">
        <v>598</v>
      </c>
      <c r="H246">
        <v>2</v>
      </c>
      <c r="I246">
        <v>1</v>
      </c>
      <c r="J246" t="s">
        <v>811</v>
      </c>
      <c r="K246">
        <f>IF(AND(H246=OFICIAL!F23, I246=OFICIAL!G23), 5, 0)</f>
        <v>0</v>
      </c>
    </row>
    <row r="247" spans="1:11" x14ac:dyDescent="0.25">
      <c r="A247" t="s">
        <v>67</v>
      </c>
      <c r="B247" t="s">
        <v>91</v>
      </c>
      <c r="C247" t="s">
        <v>599</v>
      </c>
      <c r="D247" t="s">
        <v>55</v>
      </c>
      <c r="E247" t="s">
        <v>58</v>
      </c>
      <c r="F247" t="s">
        <v>59</v>
      </c>
      <c r="G247" t="s">
        <v>600</v>
      </c>
      <c r="H247">
        <v>2</v>
      </c>
      <c r="I247">
        <v>0</v>
      </c>
      <c r="J247" t="s">
        <v>811</v>
      </c>
      <c r="K247">
        <f>IF(AND(H247=OFICIAL!F24, I247=OFICIAL!G24), 5, 0)</f>
        <v>0</v>
      </c>
    </row>
    <row r="248" spans="1:11" x14ac:dyDescent="0.25">
      <c r="A248" t="s">
        <v>67</v>
      </c>
      <c r="B248" t="s">
        <v>91</v>
      </c>
      <c r="C248" t="s">
        <v>601</v>
      </c>
      <c r="D248" t="s">
        <v>52</v>
      </c>
      <c r="E248" t="s">
        <v>60</v>
      </c>
      <c r="F248" t="s">
        <v>61</v>
      </c>
      <c r="G248" t="s">
        <v>602</v>
      </c>
      <c r="H248">
        <v>0</v>
      </c>
      <c r="I248">
        <v>2</v>
      </c>
      <c r="J248" t="s">
        <v>810</v>
      </c>
      <c r="K248">
        <f>IF(AND(H248=OFICIAL!F25, I248=OFICIAL!G25), 5, 0)</f>
        <v>0</v>
      </c>
    </row>
    <row r="249" spans="1:11" x14ac:dyDescent="0.25">
      <c r="A249" t="s">
        <v>67</v>
      </c>
      <c r="B249" t="s">
        <v>91</v>
      </c>
      <c r="C249" t="s">
        <v>603</v>
      </c>
      <c r="D249" t="s">
        <v>2</v>
      </c>
      <c r="E249" t="s">
        <v>4</v>
      </c>
      <c r="F249" t="s">
        <v>6</v>
      </c>
      <c r="G249" t="s">
        <v>604</v>
      </c>
      <c r="H249">
        <v>1</v>
      </c>
      <c r="I249">
        <v>1</v>
      </c>
      <c r="J249" t="s">
        <v>800</v>
      </c>
      <c r="K249">
        <f>IF(AND(H249=OFICIAL!F26, I249=OFICIAL!G26), 5, 0)</f>
        <v>5</v>
      </c>
    </row>
    <row r="250" spans="1:11" x14ac:dyDescent="0.25">
      <c r="A250" t="s">
        <v>67</v>
      </c>
      <c r="B250" t="s">
        <v>91</v>
      </c>
      <c r="C250" t="s">
        <v>605</v>
      </c>
      <c r="D250" t="s">
        <v>7</v>
      </c>
      <c r="E250" t="s">
        <v>9</v>
      </c>
      <c r="F250" t="s">
        <v>14</v>
      </c>
      <c r="G250" t="s">
        <v>606</v>
      </c>
      <c r="H250">
        <v>1</v>
      </c>
      <c r="I250">
        <v>1</v>
      </c>
      <c r="J250" t="s">
        <v>801</v>
      </c>
      <c r="K250">
        <f>IF(AND(H250=OFICIAL!F27, I250=OFICIAL!G27), 5, 0)</f>
        <v>0</v>
      </c>
    </row>
    <row r="251" spans="1:11" x14ac:dyDescent="0.25">
      <c r="A251" t="s">
        <v>67</v>
      </c>
      <c r="B251" t="s">
        <v>91</v>
      </c>
      <c r="C251" t="s">
        <v>607</v>
      </c>
      <c r="D251" t="s">
        <v>7</v>
      </c>
      <c r="E251" t="s">
        <v>8</v>
      </c>
      <c r="F251" t="s">
        <v>13</v>
      </c>
      <c r="G251" t="s">
        <v>608</v>
      </c>
      <c r="H251">
        <v>3</v>
      </c>
      <c r="I251">
        <v>0</v>
      </c>
      <c r="J251" t="s">
        <v>801</v>
      </c>
      <c r="K251">
        <f>IF(AND(H251=OFICIAL!F28, I251=OFICIAL!G28), 5, 0)</f>
        <v>0</v>
      </c>
    </row>
    <row r="252" spans="1:11" x14ac:dyDescent="0.25">
      <c r="A252" t="s">
        <v>67</v>
      </c>
      <c r="B252" t="s">
        <v>91</v>
      </c>
      <c r="C252" t="s">
        <v>609</v>
      </c>
      <c r="D252" t="s">
        <v>2</v>
      </c>
      <c r="E252" t="s">
        <v>3</v>
      </c>
      <c r="F252" t="s">
        <v>5</v>
      </c>
      <c r="G252" t="s">
        <v>610</v>
      </c>
      <c r="H252">
        <v>2</v>
      </c>
      <c r="I252">
        <v>1</v>
      </c>
      <c r="J252" t="s">
        <v>800</v>
      </c>
      <c r="K252">
        <f>IF(AND(H252=OFICIAL!F29, I252=OFICIAL!G29), 5, 0)</f>
        <v>0</v>
      </c>
    </row>
    <row r="253" spans="1:11" x14ac:dyDescent="0.25">
      <c r="A253" t="s">
        <v>67</v>
      </c>
      <c r="B253" t="s">
        <v>91</v>
      </c>
      <c r="C253" t="s">
        <v>611</v>
      </c>
      <c r="D253" t="s">
        <v>10</v>
      </c>
      <c r="E253" t="s">
        <v>11</v>
      </c>
      <c r="F253" t="s">
        <v>20</v>
      </c>
      <c r="G253" t="s">
        <v>612</v>
      </c>
      <c r="H253">
        <v>2</v>
      </c>
      <c r="I253">
        <v>0</v>
      </c>
      <c r="J253" t="s">
        <v>802</v>
      </c>
      <c r="K253">
        <f>IF(AND(H253=OFICIAL!F30, I253=OFICIAL!G30), 5, 0)</f>
        <v>5</v>
      </c>
    </row>
    <row r="254" spans="1:11" x14ac:dyDescent="0.25">
      <c r="A254" t="s">
        <v>67</v>
      </c>
      <c r="B254" t="s">
        <v>91</v>
      </c>
      <c r="C254" t="s">
        <v>613</v>
      </c>
      <c r="D254" t="s">
        <v>15</v>
      </c>
      <c r="E254" t="s">
        <v>17</v>
      </c>
      <c r="F254" t="s">
        <v>19</v>
      </c>
      <c r="G254" t="s">
        <v>614</v>
      </c>
      <c r="H254">
        <v>1</v>
      </c>
      <c r="I254">
        <v>0</v>
      </c>
      <c r="J254" t="s">
        <v>803</v>
      </c>
      <c r="K254">
        <f>IF(AND(H254=OFICIAL!F31, I254=OFICIAL!G31), 5, 0)</f>
        <v>5</v>
      </c>
    </row>
    <row r="255" spans="1:11" x14ac:dyDescent="0.25">
      <c r="A255" t="s">
        <v>67</v>
      </c>
      <c r="B255" t="s">
        <v>91</v>
      </c>
      <c r="C255" t="s">
        <v>615</v>
      </c>
      <c r="D255" t="s">
        <v>15</v>
      </c>
      <c r="E255" t="s">
        <v>16</v>
      </c>
      <c r="F255" t="s">
        <v>18</v>
      </c>
      <c r="G255" t="s">
        <v>616</v>
      </c>
      <c r="H255">
        <v>4</v>
      </c>
      <c r="I255">
        <v>0</v>
      </c>
      <c r="J255" t="s">
        <v>803</v>
      </c>
      <c r="K255">
        <f>IF(AND(H255=OFICIAL!F32, I255=OFICIAL!G32), 5, 0)</f>
        <v>0</v>
      </c>
    </row>
    <row r="256" spans="1:11" x14ac:dyDescent="0.25">
      <c r="A256" t="s">
        <v>67</v>
      </c>
      <c r="B256" t="s">
        <v>91</v>
      </c>
      <c r="C256" t="s">
        <v>617</v>
      </c>
      <c r="D256" t="s">
        <v>10</v>
      </c>
      <c r="E256" t="s">
        <v>12</v>
      </c>
      <c r="F256" t="s">
        <v>21</v>
      </c>
      <c r="G256" t="s">
        <v>618</v>
      </c>
      <c r="H256">
        <v>1</v>
      </c>
      <c r="I256">
        <v>1</v>
      </c>
      <c r="J256" t="s">
        <v>802</v>
      </c>
      <c r="K256">
        <f>IF(AND(H256=OFICIAL!F33, I256=OFICIAL!G33), 5, 0)</f>
        <v>0</v>
      </c>
    </row>
    <row r="257" spans="1:11" x14ac:dyDescent="0.25">
      <c r="A257" t="s">
        <v>67</v>
      </c>
      <c r="B257" t="s">
        <v>91</v>
      </c>
      <c r="C257" t="s">
        <v>619</v>
      </c>
      <c r="D257" t="s">
        <v>25</v>
      </c>
      <c r="E257" t="s">
        <v>26</v>
      </c>
      <c r="F257" t="s">
        <v>30</v>
      </c>
      <c r="G257" t="s">
        <v>620</v>
      </c>
      <c r="H257">
        <v>2</v>
      </c>
      <c r="I257">
        <v>1</v>
      </c>
      <c r="J257" t="s">
        <v>805</v>
      </c>
      <c r="K257">
        <f>IF(AND(H257=OFICIAL!F34, I257=OFICIAL!G34), 5, 0)</f>
        <v>0</v>
      </c>
    </row>
    <row r="258" spans="1:11" x14ac:dyDescent="0.25">
      <c r="A258" t="s">
        <v>67</v>
      </c>
      <c r="B258" t="s">
        <v>91</v>
      </c>
      <c r="C258" t="s">
        <v>623</v>
      </c>
      <c r="D258" t="s">
        <v>22</v>
      </c>
      <c r="E258" t="s">
        <v>23</v>
      </c>
      <c r="F258" t="s">
        <v>28</v>
      </c>
      <c r="G258" t="s">
        <v>624</v>
      </c>
      <c r="H258">
        <v>2</v>
      </c>
      <c r="I258">
        <v>1</v>
      </c>
      <c r="J258" t="s">
        <v>804</v>
      </c>
      <c r="K258">
        <f>IF(AND(H258=OFICIAL!F35, I258=OFICIAL!G35), 5, 0)</f>
        <v>5</v>
      </c>
    </row>
    <row r="259" spans="1:11" x14ac:dyDescent="0.25">
      <c r="A259" t="s">
        <v>67</v>
      </c>
      <c r="B259" t="s">
        <v>91</v>
      </c>
      <c r="C259" t="s">
        <v>625</v>
      </c>
      <c r="D259" t="s">
        <v>22</v>
      </c>
      <c r="E259" t="s">
        <v>24</v>
      </c>
      <c r="F259" t="s">
        <v>29</v>
      </c>
      <c r="G259" t="s">
        <v>626</v>
      </c>
      <c r="H259">
        <v>0</v>
      </c>
      <c r="I259">
        <v>2</v>
      </c>
      <c r="J259" t="s">
        <v>804</v>
      </c>
      <c r="K259">
        <f>IF(AND(H259=OFICIAL!F36, I259=OFICIAL!G36), 5, 0)</f>
        <v>0</v>
      </c>
    </row>
    <row r="260" spans="1:11" x14ac:dyDescent="0.25">
      <c r="A260" t="s">
        <v>67</v>
      </c>
      <c r="B260" t="s">
        <v>91</v>
      </c>
      <c r="C260" t="s">
        <v>627</v>
      </c>
      <c r="D260" t="s">
        <v>25</v>
      </c>
      <c r="E260" t="s">
        <v>27</v>
      </c>
      <c r="F260" t="s">
        <v>31</v>
      </c>
      <c r="G260" t="s">
        <v>628</v>
      </c>
      <c r="H260">
        <v>2</v>
      </c>
      <c r="I260">
        <v>0</v>
      </c>
      <c r="J260" t="s">
        <v>805</v>
      </c>
      <c r="K260">
        <f>IF(AND(H260=OFICIAL!F37, I260=OFICIAL!G37), 5, 0)</f>
        <v>0</v>
      </c>
    </row>
    <row r="261" spans="1:11" x14ac:dyDescent="0.25">
      <c r="A261" t="s">
        <v>67</v>
      </c>
      <c r="B261" t="s">
        <v>91</v>
      </c>
      <c r="C261" t="s">
        <v>629</v>
      </c>
      <c r="D261" t="s">
        <v>32</v>
      </c>
      <c r="E261" t="s">
        <v>33</v>
      </c>
      <c r="F261" t="s">
        <v>38</v>
      </c>
      <c r="G261" t="s">
        <v>630</v>
      </c>
      <c r="H261">
        <v>2</v>
      </c>
      <c r="I261">
        <v>0</v>
      </c>
      <c r="J261" t="s">
        <v>806</v>
      </c>
      <c r="K261">
        <f>IF(AND(H261=OFICIAL!F38, I261=OFICIAL!G38), 5, 0)</f>
        <v>0</v>
      </c>
    </row>
    <row r="262" spans="1:11" x14ac:dyDescent="0.25">
      <c r="A262" t="s">
        <v>67</v>
      </c>
      <c r="B262" t="s">
        <v>91</v>
      </c>
      <c r="C262" t="s">
        <v>631</v>
      </c>
      <c r="D262" t="s">
        <v>35</v>
      </c>
      <c r="E262" t="s">
        <v>36</v>
      </c>
      <c r="F262" t="s">
        <v>40</v>
      </c>
      <c r="G262" t="s">
        <v>632</v>
      </c>
      <c r="H262">
        <v>2</v>
      </c>
      <c r="I262">
        <v>0</v>
      </c>
      <c r="J262" t="s">
        <v>807</v>
      </c>
      <c r="K262">
        <f>IF(AND(H262=OFICIAL!F39, I262=OFICIAL!G39), 5, 0)</f>
        <v>0</v>
      </c>
    </row>
    <row r="263" spans="1:11" x14ac:dyDescent="0.25">
      <c r="A263" t="s">
        <v>67</v>
      </c>
      <c r="B263" t="s">
        <v>91</v>
      </c>
      <c r="C263" s="4" t="s">
        <v>633</v>
      </c>
      <c r="D263" t="s">
        <v>32</v>
      </c>
      <c r="E263" t="s">
        <v>34</v>
      </c>
      <c r="F263" t="s">
        <v>39</v>
      </c>
      <c r="G263" t="s">
        <v>634</v>
      </c>
      <c r="H263">
        <v>1</v>
      </c>
      <c r="I263">
        <v>2</v>
      </c>
      <c r="J263" t="s">
        <v>806</v>
      </c>
      <c r="K263">
        <f>IF(AND(H263=OFICIAL!F40, I263=OFICIAL!G40), 5, 0)</f>
        <v>0</v>
      </c>
    </row>
    <row r="264" spans="1:11" x14ac:dyDescent="0.25">
      <c r="A264" t="s">
        <v>67</v>
      </c>
      <c r="B264" t="s">
        <v>91</v>
      </c>
      <c r="C264" t="s">
        <v>635</v>
      </c>
      <c r="D264" t="s">
        <v>35</v>
      </c>
      <c r="E264" t="s">
        <v>37</v>
      </c>
      <c r="F264" t="s">
        <v>41</v>
      </c>
      <c r="G264" t="s">
        <v>636</v>
      </c>
      <c r="H264">
        <v>2</v>
      </c>
      <c r="I264">
        <v>0</v>
      </c>
      <c r="J264" t="s">
        <v>807</v>
      </c>
      <c r="K264">
        <f>IF(AND(H264=OFICIAL!F41, I264=OFICIAL!G41), 5, 0)</f>
        <v>0</v>
      </c>
    </row>
    <row r="265" spans="1:11" x14ac:dyDescent="0.25">
      <c r="A265" t="s">
        <v>67</v>
      </c>
      <c r="B265" t="s">
        <v>91</v>
      </c>
      <c r="C265" s="4" t="s">
        <v>637</v>
      </c>
      <c r="D265" t="s">
        <v>47</v>
      </c>
      <c r="E265" t="s">
        <v>48</v>
      </c>
      <c r="F265" t="s">
        <v>50</v>
      </c>
      <c r="G265" t="s">
        <v>638</v>
      </c>
      <c r="H265">
        <v>2</v>
      </c>
      <c r="I265">
        <v>1</v>
      </c>
      <c r="J265" t="s">
        <v>809</v>
      </c>
      <c r="K265">
        <f>IF(AND(H265=OFICIAL!F42, I265=OFICIAL!G42), 5, 0)</f>
        <v>0</v>
      </c>
    </row>
    <row r="266" spans="1:11" x14ac:dyDescent="0.25">
      <c r="A266" t="s">
        <v>67</v>
      </c>
      <c r="B266" t="s">
        <v>91</v>
      </c>
      <c r="C266" t="s">
        <v>639</v>
      </c>
      <c r="D266" t="s">
        <v>42</v>
      </c>
      <c r="E266" t="s">
        <v>43</v>
      </c>
      <c r="F266" t="s">
        <v>45</v>
      </c>
      <c r="G266" t="s">
        <v>640</v>
      </c>
      <c r="H266">
        <v>3</v>
      </c>
      <c r="I266">
        <v>0</v>
      </c>
      <c r="J266" t="s">
        <v>808</v>
      </c>
      <c r="K266">
        <f>IF(AND(H266=OFICIAL!F43, I266=OFICIAL!G43), 5, 0)</f>
        <v>5</v>
      </c>
    </row>
    <row r="267" spans="1:11" x14ac:dyDescent="0.25">
      <c r="A267" t="s">
        <v>67</v>
      </c>
      <c r="B267" t="s">
        <v>91</v>
      </c>
      <c r="C267" t="s">
        <v>641</v>
      </c>
      <c r="D267" t="s">
        <v>42</v>
      </c>
      <c r="E267" t="s">
        <v>44</v>
      </c>
      <c r="F267" t="s">
        <v>46</v>
      </c>
      <c r="G267" t="s">
        <v>642</v>
      </c>
      <c r="H267">
        <v>1</v>
      </c>
      <c r="I267">
        <v>1</v>
      </c>
      <c r="J267" t="s">
        <v>808</v>
      </c>
      <c r="K267">
        <f>IF(AND(H267=OFICIAL!F44, I267=OFICIAL!G44), 5, 0)</f>
        <v>0</v>
      </c>
    </row>
    <row r="268" spans="1:11" x14ac:dyDescent="0.25">
      <c r="A268" t="s">
        <v>67</v>
      </c>
      <c r="B268" t="s">
        <v>91</v>
      </c>
      <c r="C268" t="s">
        <v>643</v>
      </c>
      <c r="D268" t="s">
        <v>47</v>
      </c>
      <c r="E268" t="s">
        <v>49</v>
      </c>
      <c r="F268" t="s">
        <v>51</v>
      </c>
      <c r="G268" t="s">
        <v>644</v>
      </c>
      <c r="H268">
        <v>1</v>
      </c>
      <c r="I268">
        <v>0</v>
      </c>
      <c r="J268" t="s">
        <v>809</v>
      </c>
      <c r="K268">
        <f>IF(AND(H268=OFICIAL!F45, I268=OFICIAL!G45), 5, 0)</f>
        <v>0</v>
      </c>
    </row>
    <row r="269" spans="1:11" x14ac:dyDescent="0.25">
      <c r="A269" t="s">
        <v>67</v>
      </c>
      <c r="B269" t="s">
        <v>91</v>
      </c>
      <c r="C269" t="s">
        <v>645</v>
      </c>
      <c r="D269" t="s">
        <v>52</v>
      </c>
      <c r="E269" t="s">
        <v>53</v>
      </c>
      <c r="F269" t="s">
        <v>60</v>
      </c>
      <c r="G269" t="s">
        <v>646</v>
      </c>
      <c r="H269">
        <v>3</v>
      </c>
      <c r="I269">
        <v>0</v>
      </c>
      <c r="J269" t="s">
        <v>810</v>
      </c>
      <c r="K269">
        <f>IF(AND(H269=OFICIAL!F46, I269=OFICIAL!G46), 5, 0)</f>
        <v>0</v>
      </c>
    </row>
    <row r="270" spans="1:11" x14ac:dyDescent="0.25">
      <c r="A270" t="s">
        <v>67</v>
      </c>
      <c r="B270" t="s">
        <v>91</v>
      </c>
      <c r="C270" t="s">
        <v>647</v>
      </c>
      <c r="D270" t="s">
        <v>55</v>
      </c>
      <c r="E270" t="s">
        <v>56</v>
      </c>
      <c r="F270" t="s">
        <v>58</v>
      </c>
      <c r="G270" t="s">
        <v>648</v>
      </c>
      <c r="H270">
        <v>3</v>
      </c>
      <c r="I270">
        <v>1</v>
      </c>
      <c r="J270" t="s">
        <v>811</v>
      </c>
      <c r="K270">
        <f>IF(AND(H270=OFICIAL!F47, I270=OFICIAL!G47), 5, 0)</f>
        <v>0</v>
      </c>
    </row>
    <row r="271" spans="1:11" x14ac:dyDescent="0.25">
      <c r="A271" t="s">
        <v>67</v>
      </c>
      <c r="B271" t="s">
        <v>91</v>
      </c>
      <c r="C271" t="s">
        <v>649</v>
      </c>
      <c r="D271" t="s">
        <v>55</v>
      </c>
      <c r="E271" t="s">
        <v>57</v>
      </c>
      <c r="F271" t="s">
        <v>59</v>
      </c>
      <c r="G271" t="s">
        <v>650</v>
      </c>
      <c r="H271">
        <v>2</v>
      </c>
      <c r="I271">
        <v>0</v>
      </c>
      <c r="J271" t="s">
        <v>811</v>
      </c>
      <c r="K271">
        <f>IF(AND(H271=OFICIAL!F48, I271=OFICIAL!G48), 5, 0)</f>
        <v>0</v>
      </c>
    </row>
    <row r="272" spans="1:11" x14ac:dyDescent="0.25">
      <c r="A272" t="s">
        <v>67</v>
      </c>
      <c r="B272" t="s">
        <v>91</v>
      </c>
      <c r="C272" t="s">
        <v>651</v>
      </c>
      <c r="D272" t="s">
        <v>52</v>
      </c>
      <c r="E272" t="s">
        <v>54</v>
      </c>
      <c r="F272" t="s">
        <v>61</v>
      </c>
      <c r="G272" t="s">
        <v>652</v>
      </c>
      <c r="H272">
        <v>1</v>
      </c>
      <c r="I272">
        <v>2</v>
      </c>
      <c r="J272" t="s">
        <v>810</v>
      </c>
      <c r="K272">
        <f>IF(AND(H272=OFICIAL!F49, I272=OFICIAL!G49), 5, 0)</f>
        <v>0</v>
      </c>
    </row>
    <row r="273" spans="1:11" x14ac:dyDescent="0.25">
      <c r="A273" t="s">
        <v>67</v>
      </c>
      <c r="B273" t="s">
        <v>91</v>
      </c>
      <c r="C273" t="s">
        <v>655</v>
      </c>
      <c r="D273" t="s">
        <v>7</v>
      </c>
      <c r="E273" t="s">
        <v>9</v>
      </c>
      <c r="F273" t="s">
        <v>13</v>
      </c>
      <c r="G273" t="s">
        <v>654</v>
      </c>
      <c r="H273">
        <v>2</v>
      </c>
      <c r="I273">
        <v>0</v>
      </c>
      <c r="J273" t="s">
        <v>801</v>
      </c>
      <c r="K273">
        <f>IF(AND(H273=OFICIAL!F50, I273=OFICIAL!G50), 5, 0)</f>
        <v>0</v>
      </c>
    </row>
    <row r="274" spans="1:11" x14ac:dyDescent="0.25">
      <c r="A274" t="s">
        <v>67</v>
      </c>
      <c r="B274" t="s">
        <v>91</v>
      </c>
      <c r="C274" t="s">
        <v>653</v>
      </c>
      <c r="D274" t="s">
        <v>7</v>
      </c>
      <c r="E274" t="s">
        <v>14</v>
      </c>
      <c r="F274" t="s">
        <v>8</v>
      </c>
      <c r="G274" t="s">
        <v>654</v>
      </c>
      <c r="H274">
        <v>1</v>
      </c>
      <c r="I274">
        <v>2</v>
      </c>
      <c r="J274" t="s">
        <v>801</v>
      </c>
      <c r="K274">
        <f>IF(AND(H274=OFICIAL!F51, I274=OFICIAL!G51), 5, 0)</f>
        <v>0</v>
      </c>
    </row>
    <row r="275" spans="1:11" x14ac:dyDescent="0.25">
      <c r="A275" t="s">
        <v>67</v>
      </c>
      <c r="B275" t="s">
        <v>91</v>
      </c>
      <c r="C275" t="s">
        <v>658</v>
      </c>
      <c r="D275" t="s">
        <v>15</v>
      </c>
      <c r="E275" t="s">
        <v>17</v>
      </c>
      <c r="F275" t="s">
        <v>18</v>
      </c>
      <c r="G275" t="s">
        <v>657</v>
      </c>
      <c r="H275">
        <v>3</v>
      </c>
      <c r="I275">
        <v>0</v>
      </c>
      <c r="J275" t="s">
        <v>803</v>
      </c>
      <c r="K275">
        <f>IF(AND(H275=OFICIAL!F52, I275=OFICIAL!G52), 5, 0)</f>
        <v>0</v>
      </c>
    </row>
    <row r="276" spans="1:11" x14ac:dyDescent="0.25">
      <c r="A276" t="s">
        <v>67</v>
      </c>
      <c r="B276" t="s">
        <v>91</v>
      </c>
      <c r="C276" t="s">
        <v>656</v>
      </c>
      <c r="D276" t="s">
        <v>15</v>
      </c>
      <c r="E276" t="s">
        <v>19</v>
      </c>
      <c r="F276" t="s">
        <v>16</v>
      </c>
      <c r="G276" t="s">
        <v>657</v>
      </c>
      <c r="H276">
        <v>1</v>
      </c>
      <c r="I276">
        <v>2</v>
      </c>
      <c r="J276" t="s">
        <v>803</v>
      </c>
      <c r="K276">
        <f>IF(AND(H276=OFICIAL!F53, I276=OFICIAL!G53), 5, 0)</f>
        <v>0</v>
      </c>
    </row>
    <row r="277" spans="1:11" x14ac:dyDescent="0.25">
      <c r="A277" t="s">
        <v>67</v>
      </c>
      <c r="B277" t="s">
        <v>91</v>
      </c>
      <c r="C277" t="s">
        <v>659</v>
      </c>
      <c r="D277" t="s">
        <v>2</v>
      </c>
      <c r="E277" t="s">
        <v>5</v>
      </c>
      <c r="F277" t="s">
        <v>4</v>
      </c>
      <c r="G277" t="s">
        <v>660</v>
      </c>
      <c r="H277">
        <v>2</v>
      </c>
      <c r="I277">
        <v>1</v>
      </c>
      <c r="J277" t="s">
        <v>800</v>
      </c>
      <c r="K277">
        <f>IF(AND(H277=OFICIAL!F54, I277=OFICIAL!G54), 5, 0)</f>
        <v>0</v>
      </c>
    </row>
    <row r="278" spans="1:11" x14ac:dyDescent="0.25">
      <c r="A278" t="s">
        <v>67</v>
      </c>
      <c r="B278" t="s">
        <v>91</v>
      </c>
      <c r="C278" t="s">
        <v>661</v>
      </c>
      <c r="D278" t="s">
        <v>2</v>
      </c>
      <c r="E278" t="s">
        <v>6</v>
      </c>
      <c r="F278" t="s">
        <v>3</v>
      </c>
      <c r="G278" t="s">
        <v>660</v>
      </c>
      <c r="H278">
        <v>1</v>
      </c>
      <c r="I278">
        <v>1</v>
      </c>
      <c r="J278" t="s">
        <v>800</v>
      </c>
      <c r="K278">
        <f>IF(AND(H278=OFICIAL!F55, I278=OFICIAL!G55), 5, 0)</f>
        <v>0</v>
      </c>
    </row>
    <row r="279" spans="1:11" x14ac:dyDescent="0.25">
      <c r="A279" t="s">
        <v>67</v>
      </c>
      <c r="B279" t="s">
        <v>91</v>
      </c>
      <c r="C279" t="s">
        <v>664</v>
      </c>
      <c r="D279" t="s">
        <v>22</v>
      </c>
      <c r="E279" t="s">
        <v>24</v>
      </c>
      <c r="F279" t="s">
        <v>28</v>
      </c>
      <c r="G279" t="s">
        <v>663</v>
      </c>
      <c r="H279">
        <v>0</v>
      </c>
      <c r="I279">
        <v>3</v>
      </c>
      <c r="J279" t="s">
        <v>804</v>
      </c>
      <c r="K279">
        <f>IF(AND(H279=OFICIAL!F56, I279=OFICIAL!G56), 5, 0)</f>
        <v>0</v>
      </c>
    </row>
    <row r="280" spans="1:11" x14ac:dyDescent="0.25">
      <c r="A280" t="s">
        <v>67</v>
      </c>
      <c r="B280" t="s">
        <v>91</v>
      </c>
      <c r="C280" t="s">
        <v>662</v>
      </c>
      <c r="D280" t="s">
        <v>22</v>
      </c>
      <c r="E280" t="s">
        <v>29</v>
      </c>
      <c r="F280" t="s">
        <v>23</v>
      </c>
      <c r="G280" t="s">
        <v>663</v>
      </c>
      <c r="H280">
        <v>1</v>
      </c>
      <c r="I280">
        <v>2</v>
      </c>
      <c r="J280" t="s">
        <v>804</v>
      </c>
      <c r="K280">
        <f>IF(AND(H280=OFICIAL!F57, I280=OFICIAL!G57), 5, 0)</f>
        <v>0</v>
      </c>
    </row>
    <row r="281" spans="1:11" x14ac:dyDescent="0.25">
      <c r="A281" t="s">
        <v>67</v>
      </c>
      <c r="B281" t="s">
        <v>91</v>
      </c>
      <c r="C281" t="s">
        <v>665</v>
      </c>
      <c r="D281" t="s">
        <v>25</v>
      </c>
      <c r="E281" t="s">
        <v>27</v>
      </c>
      <c r="F281" t="s">
        <v>30</v>
      </c>
      <c r="G281" t="s">
        <v>666</v>
      </c>
      <c r="H281">
        <v>2</v>
      </c>
      <c r="I281">
        <v>1</v>
      </c>
      <c r="J281" t="s">
        <v>805</v>
      </c>
      <c r="K281">
        <f>IF(AND(H281=OFICIAL!F58, I281=OFICIAL!G58), 5, 0)</f>
        <v>0</v>
      </c>
    </row>
    <row r="282" spans="1:11" x14ac:dyDescent="0.25">
      <c r="A282" t="s">
        <v>67</v>
      </c>
      <c r="B282" t="s">
        <v>91</v>
      </c>
      <c r="C282" t="s">
        <v>667</v>
      </c>
      <c r="D282" t="s">
        <v>25</v>
      </c>
      <c r="E282" t="s">
        <v>31</v>
      </c>
      <c r="F282" t="s">
        <v>26</v>
      </c>
      <c r="G282" t="s">
        <v>666</v>
      </c>
      <c r="H282">
        <v>0</v>
      </c>
      <c r="I282">
        <v>2</v>
      </c>
      <c r="J282" t="s">
        <v>805</v>
      </c>
      <c r="K282">
        <f>IF(AND(H282=OFICIAL!F59, I282=OFICIAL!G59), 5, 0)</f>
        <v>0</v>
      </c>
    </row>
    <row r="283" spans="1:11" x14ac:dyDescent="0.25">
      <c r="A283" t="s">
        <v>67</v>
      </c>
      <c r="B283" t="s">
        <v>91</v>
      </c>
      <c r="C283" t="s">
        <v>670</v>
      </c>
      <c r="D283" t="s">
        <v>10</v>
      </c>
      <c r="E283" t="s">
        <v>12</v>
      </c>
      <c r="F283" t="s">
        <v>20</v>
      </c>
      <c r="G283" t="s">
        <v>669</v>
      </c>
      <c r="H283">
        <v>1</v>
      </c>
      <c r="I283">
        <v>0</v>
      </c>
      <c r="J283" t="s">
        <v>802</v>
      </c>
      <c r="K283">
        <f>IF(AND(H283=OFICIAL!F60, I283=OFICIAL!G60), 5, 0)</f>
        <v>0</v>
      </c>
    </row>
    <row r="284" spans="1:11" x14ac:dyDescent="0.25">
      <c r="A284" t="s">
        <v>67</v>
      </c>
      <c r="B284" t="s">
        <v>91</v>
      </c>
      <c r="C284" t="s">
        <v>668</v>
      </c>
      <c r="D284" t="s">
        <v>10</v>
      </c>
      <c r="E284" t="s">
        <v>21</v>
      </c>
      <c r="F284" t="s">
        <v>11</v>
      </c>
      <c r="G284" t="s">
        <v>669</v>
      </c>
      <c r="H284">
        <v>2</v>
      </c>
      <c r="I284">
        <v>2</v>
      </c>
      <c r="J284" t="s">
        <v>802</v>
      </c>
      <c r="K284">
        <f>IF(AND(H284=OFICIAL!F61, I284=OFICIAL!G61), 5, 0)</f>
        <v>0</v>
      </c>
    </row>
    <row r="285" spans="1:11" x14ac:dyDescent="0.25">
      <c r="A285" t="s">
        <v>67</v>
      </c>
      <c r="B285" t="s">
        <v>91</v>
      </c>
      <c r="C285" t="s">
        <v>671</v>
      </c>
      <c r="D285" t="s">
        <v>42</v>
      </c>
      <c r="E285" t="s">
        <v>46</v>
      </c>
      <c r="F285" t="s">
        <v>43</v>
      </c>
      <c r="G285" t="s">
        <v>672</v>
      </c>
      <c r="H285">
        <v>1</v>
      </c>
      <c r="I285">
        <v>2</v>
      </c>
      <c r="J285" t="s">
        <v>808</v>
      </c>
      <c r="K285">
        <f>IF(AND(H285=OFICIAL!F62, I285=OFICIAL!G62), 5, 0)</f>
        <v>0</v>
      </c>
    </row>
    <row r="286" spans="1:11" x14ac:dyDescent="0.25">
      <c r="A286" t="s">
        <v>67</v>
      </c>
      <c r="B286" t="s">
        <v>91</v>
      </c>
      <c r="C286" t="s">
        <v>673</v>
      </c>
      <c r="D286" t="s">
        <v>42</v>
      </c>
      <c r="E286" t="s">
        <v>44</v>
      </c>
      <c r="F286" t="s">
        <v>45</v>
      </c>
      <c r="G286" t="s">
        <v>672</v>
      </c>
      <c r="H286">
        <v>2</v>
      </c>
      <c r="I286">
        <v>0</v>
      </c>
      <c r="J286" t="s">
        <v>808</v>
      </c>
      <c r="K286">
        <f>IF(AND(H286=OFICIAL!F63, I286=OFICIAL!G63), 5, 0)</f>
        <v>0</v>
      </c>
    </row>
    <row r="287" spans="1:11" x14ac:dyDescent="0.25">
      <c r="A287" t="s">
        <v>67</v>
      </c>
      <c r="B287" t="s">
        <v>91</v>
      </c>
      <c r="C287" t="s">
        <v>674</v>
      </c>
      <c r="D287" t="s">
        <v>32</v>
      </c>
      <c r="E287" t="s">
        <v>39</v>
      </c>
      <c r="F287" t="s">
        <v>33</v>
      </c>
      <c r="G287" t="s">
        <v>675</v>
      </c>
      <c r="H287">
        <v>1</v>
      </c>
      <c r="I287">
        <v>2</v>
      </c>
      <c r="J287" t="s">
        <v>806</v>
      </c>
      <c r="K287">
        <f>IF(AND(H287=OFICIAL!F64, I287=OFICIAL!G64), 5, 0)</f>
        <v>0</v>
      </c>
    </row>
    <row r="288" spans="1:11" x14ac:dyDescent="0.25">
      <c r="A288" t="s">
        <v>67</v>
      </c>
      <c r="B288" t="s">
        <v>91</v>
      </c>
      <c r="C288" t="s">
        <v>676</v>
      </c>
      <c r="D288" t="s">
        <v>32</v>
      </c>
      <c r="E288" t="s">
        <v>34</v>
      </c>
      <c r="F288" t="s">
        <v>38</v>
      </c>
      <c r="G288" t="s">
        <v>675</v>
      </c>
      <c r="H288">
        <v>1</v>
      </c>
      <c r="I288">
        <v>1</v>
      </c>
      <c r="J288" t="s">
        <v>806</v>
      </c>
      <c r="K288">
        <f>IF(AND(H288=OFICIAL!F65, I288=OFICIAL!G65), 5, 0)</f>
        <v>0</v>
      </c>
    </row>
    <row r="289" spans="1:12" x14ac:dyDescent="0.25">
      <c r="A289" t="s">
        <v>67</v>
      </c>
      <c r="B289" t="s">
        <v>91</v>
      </c>
      <c r="C289" t="s">
        <v>677</v>
      </c>
      <c r="D289" t="s">
        <v>35</v>
      </c>
      <c r="E289" t="s">
        <v>37</v>
      </c>
      <c r="F289" t="s">
        <v>40</v>
      </c>
      <c r="G289" t="s">
        <v>678</v>
      </c>
      <c r="H289">
        <v>1</v>
      </c>
      <c r="I289">
        <v>1</v>
      </c>
      <c r="J289" t="s">
        <v>807</v>
      </c>
      <c r="K289">
        <f>IF(AND(H289=OFICIAL!F66, I289=OFICIAL!G66), 5, 0)</f>
        <v>0</v>
      </c>
    </row>
    <row r="290" spans="1:12" x14ac:dyDescent="0.25">
      <c r="A290" t="s">
        <v>67</v>
      </c>
      <c r="B290" t="s">
        <v>91</v>
      </c>
      <c r="C290" t="s">
        <v>679</v>
      </c>
      <c r="D290" t="s">
        <v>35</v>
      </c>
      <c r="E290" t="s">
        <v>41</v>
      </c>
      <c r="F290" t="s">
        <v>36</v>
      </c>
      <c r="G290" t="s">
        <v>678</v>
      </c>
      <c r="H290">
        <v>0</v>
      </c>
      <c r="I290">
        <v>3</v>
      </c>
      <c r="J290" t="s">
        <v>807</v>
      </c>
      <c r="K290">
        <f>IF(AND(H290=OFICIAL!F67, I290=OFICIAL!G67), 5, 0)</f>
        <v>0</v>
      </c>
    </row>
    <row r="291" spans="1:12" x14ac:dyDescent="0.25">
      <c r="A291" t="s">
        <v>67</v>
      </c>
      <c r="B291" t="s">
        <v>91</v>
      </c>
      <c r="C291" t="s">
        <v>680</v>
      </c>
      <c r="D291" t="s">
        <v>55</v>
      </c>
      <c r="E291" t="s">
        <v>59</v>
      </c>
      <c r="F291" t="s">
        <v>56</v>
      </c>
      <c r="G291" t="s">
        <v>681</v>
      </c>
      <c r="H291">
        <v>0</v>
      </c>
      <c r="I291">
        <v>3</v>
      </c>
      <c r="J291" t="s">
        <v>811</v>
      </c>
      <c r="K291">
        <f>IF(AND(H291=OFICIAL!F68, I291=OFICIAL!G68), 5, 0)</f>
        <v>0</v>
      </c>
    </row>
    <row r="292" spans="1:12" x14ac:dyDescent="0.25">
      <c r="A292" t="s">
        <v>67</v>
      </c>
      <c r="B292" t="s">
        <v>91</v>
      </c>
      <c r="C292" t="s">
        <v>682</v>
      </c>
      <c r="D292" t="s">
        <v>55</v>
      </c>
      <c r="E292" t="s">
        <v>57</v>
      </c>
      <c r="F292" t="s">
        <v>58</v>
      </c>
      <c r="G292" t="s">
        <v>681</v>
      </c>
      <c r="H292">
        <v>1</v>
      </c>
      <c r="I292">
        <v>1</v>
      </c>
      <c r="J292" t="s">
        <v>811</v>
      </c>
      <c r="K292">
        <f>IF(AND(H292=OFICIAL!F69, I292=OFICIAL!G69), 5, 0)</f>
        <v>0</v>
      </c>
    </row>
    <row r="293" spans="1:12" x14ac:dyDescent="0.25">
      <c r="A293" t="s">
        <v>67</v>
      </c>
      <c r="B293" t="s">
        <v>91</v>
      </c>
      <c r="C293" t="s">
        <v>683</v>
      </c>
      <c r="D293" t="s">
        <v>52</v>
      </c>
      <c r="E293" t="s">
        <v>54</v>
      </c>
      <c r="F293" t="s">
        <v>60</v>
      </c>
      <c r="G293" t="s">
        <v>684</v>
      </c>
      <c r="H293">
        <v>1</v>
      </c>
      <c r="I293">
        <v>0</v>
      </c>
      <c r="J293" t="s">
        <v>810</v>
      </c>
      <c r="K293">
        <f>IF(AND(H293=OFICIAL!F70, I293=OFICIAL!G70), 5, 0)</f>
        <v>0</v>
      </c>
    </row>
    <row r="294" spans="1:12" x14ac:dyDescent="0.25">
      <c r="A294" t="s">
        <v>67</v>
      </c>
      <c r="B294" t="s">
        <v>91</v>
      </c>
      <c r="C294" t="s">
        <v>685</v>
      </c>
      <c r="D294" t="s">
        <v>52</v>
      </c>
      <c r="E294" t="s">
        <v>61</v>
      </c>
      <c r="F294" t="s">
        <v>53</v>
      </c>
      <c r="G294" t="s">
        <v>684</v>
      </c>
      <c r="H294">
        <v>1</v>
      </c>
      <c r="I294">
        <v>1</v>
      </c>
      <c r="J294" t="s">
        <v>810</v>
      </c>
      <c r="K294">
        <f>IF(AND(H294=OFICIAL!F71, I294=OFICIAL!G71), 5, 0)</f>
        <v>0</v>
      </c>
    </row>
    <row r="295" spans="1:12" x14ac:dyDescent="0.25">
      <c r="A295" t="s">
        <v>67</v>
      </c>
      <c r="B295" t="s">
        <v>91</v>
      </c>
      <c r="C295" t="s">
        <v>686</v>
      </c>
      <c r="D295" t="s">
        <v>47</v>
      </c>
      <c r="E295" t="s">
        <v>49</v>
      </c>
      <c r="F295" t="s">
        <v>50</v>
      </c>
      <c r="G295" t="s">
        <v>687</v>
      </c>
      <c r="H295">
        <v>1</v>
      </c>
      <c r="I295">
        <v>1</v>
      </c>
      <c r="J295" t="s">
        <v>809</v>
      </c>
      <c r="K295">
        <f>IF(AND(H295=OFICIAL!F72, I295=OFICIAL!G72), 5, 0)</f>
        <v>0</v>
      </c>
    </row>
    <row r="296" spans="1:12" x14ac:dyDescent="0.25">
      <c r="A296" t="s">
        <v>67</v>
      </c>
      <c r="B296" t="s">
        <v>91</v>
      </c>
      <c r="C296" s="4" t="s">
        <v>688</v>
      </c>
      <c r="D296" t="s">
        <v>47</v>
      </c>
      <c r="E296" t="s">
        <v>51</v>
      </c>
      <c r="F296" t="s">
        <v>48</v>
      </c>
      <c r="G296" t="s">
        <v>687</v>
      </c>
      <c r="H296">
        <v>0</v>
      </c>
      <c r="I296">
        <v>3</v>
      </c>
      <c r="J296" t="s">
        <v>809</v>
      </c>
      <c r="K296">
        <f>IF(AND(H296=OFICIAL!F73, I296=OFICIAL!G73), 5, 0)</f>
        <v>0</v>
      </c>
    </row>
    <row r="297" spans="1:12" x14ac:dyDescent="0.25">
      <c r="C297" s="4"/>
    </row>
    <row r="298" spans="1:12" ht="18" customHeight="1" thickBot="1" x14ac:dyDescent="0.3">
      <c r="A298" s="23" t="s">
        <v>68</v>
      </c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</row>
    <row r="299" spans="1:12" ht="15.75" thickBot="1" x14ac:dyDescent="0.3">
      <c r="A299" t="s">
        <v>69</v>
      </c>
      <c r="B299" t="s">
        <v>93</v>
      </c>
      <c r="C299" t="s">
        <v>554</v>
      </c>
      <c r="D299" t="s">
        <v>2</v>
      </c>
      <c r="E299" t="s">
        <v>3</v>
      </c>
      <c r="F299" t="s">
        <v>4</v>
      </c>
      <c r="G299" t="s">
        <v>555</v>
      </c>
      <c r="H299">
        <v>3</v>
      </c>
      <c r="I299">
        <v>0</v>
      </c>
      <c r="J299" t="s">
        <v>812</v>
      </c>
      <c r="K299">
        <f>IF(AND(H299=OFICIAL!F2, I299=OFICIAL!G2), 5, 0)</f>
        <v>0</v>
      </c>
      <c r="L299" s="6">
        <f>SUM(K299:K370)</f>
        <v>30</v>
      </c>
    </row>
    <row r="300" spans="1:12" x14ac:dyDescent="0.25">
      <c r="A300" t="s">
        <v>69</v>
      </c>
      <c r="B300" t="s">
        <v>93</v>
      </c>
      <c r="C300" t="s">
        <v>557</v>
      </c>
      <c r="D300" t="s">
        <v>2</v>
      </c>
      <c r="E300" t="s">
        <v>5</v>
      </c>
      <c r="F300" t="s">
        <v>6</v>
      </c>
      <c r="G300" t="s">
        <v>558</v>
      </c>
      <c r="H300">
        <v>2</v>
      </c>
      <c r="I300">
        <v>1</v>
      </c>
      <c r="J300" t="s">
        <v>812</v>
      </c>
      <c r="K300">
        <f>IF(AND(H300=OFICIAL!F3, I300=OFICIAL!G3), 5, 0)</f>
        <v>5</v>
      </c>
    </row>
    <row r="301" spans="1:12" x14ac:dyDescent="0.25">
      <c r="A301" t="s">
        <v>69</v>
      </c>
      <c r="B301" t="s">
        <v>93</v>
      </c>
      <c r="C301" t="s">
        <v>559</v>
      </c>
      <c r="D301" t="s">
        <v>7</v>
      </c>
      <c r="E301" t="s">
        <v>8</v>
      </c>
      <c r="F301" t="s">
        <v>9</v>
      </c>
      <c r="G301" t="s">
        <v>560</v>
      </c>
      <c r="H301">
        <v>1</v>
      </c>
      <c r="I301">
        <v>0</v>
      </c>
      <c r="J301" t="s">
        <v>813</v>
      </c>
      <c r="K301">
        <f>IF(AND(H301=OFICIAL!F4, I301=OFICIAL!G4), 5, 0)</f>
        <v>0</v>
      </c>
    </row>
    <row r="302" spans="1:12" x14ac:dyDescent="0.25">
      <c r="A302" t="s">
        <v>69</v>
      </c>
      <c r="B302" t="s">
        <v>93</v>
      </c>
      <c r="C302" t="s">
        <v>561</v>
      </c>
      <c r="D302" t="s">
        <v>10</v>
      </c>
      <c r="E302" t="s">
        <v>11</v>
      </c>
      <c r="F302" t="s">
        <v>12</v>
      </c>
      <c r="G302" t="s">
        <v>562</v>
      </c>
      <c r="H302">
        <v>2</v>
      </c>
      <c r="I302">
        <v>2</v>
      </c>
      <c r="J302" t="s">
        <v>814</v>
      </c>
      <c r="K302">
        <f>IF(AND(H302=OFICIAL!F5, I302=OFICIAL!G5), 5, 0)</f>
        <v>0</v>
      </c>
    </row>
    <row r="303" spans="1:12" x14ac:dyDescent="0.25">
      <c r="A303" t="s">
        <v>69</v>
      </c>
      <c r="B303" t="s">
        <v>93</v>
      </c>
      <c r="C303" t="s">
        <v>563</v>
      </c>
      <c r="D303" t="s">
        <v>7</v>
      </c>
      <c r="E303" t="s">
        <v>13</v>
      </c>
      <c r="F303" t="s">
        <v>14</v>
      </c>
      <c r="G303" t="s">
        <v>564</v>
      </c>
      <c r="H303">
        <v>2</v>
      </c>
      <c r="I303">
        <v>1</v>
      </c>
      <c r="J303" t="s">
        <v>813</v>
      </c>
      <c r="K303">
        <f>IF(AND(H303=OFICIAL!F6, I303=OFICIAL!G6), 5, 0)</f>
        <v>0</v>
      </c>
    </row>
    <row r="304" spans="1:12" x14ac:dyDescent="0.25">
      <c r="A304" t="s">
        <v>69</v>
      </c>
      <c r="B304" t="s">
        <v>93</v>
      </c>
      <c r="C304" t="s">
        <v>565</v>
      </c>
      <c r="D304" t="s">
        <v>15</v>
      </c>
      <c r="E304" t="s">
        <v>16</v>
      </c>
      <c r="F304" t="s">
        <v>17</v>
      </c>
      <c r="G304" t="s">
        <v>566</v>
      </c>
      <c r="H304">
        <v>2</v>
      </c>
      <c r="I304">
        <v>1</v>
      </c>
      <c r="J304" t="s">
        <v>815</v>
      </c>
      <c r="K304">
        <f>IF(AND(H304=OFICIAL!F7, I304=OFICIAL!G7), 5, 0)</f>
        <v>0</v>
      </c>
    </row>
    <row r="305" spans="1:11" x14ac:dyDescent="0.25">
      <c r="A305" t="s">
        <v>69</v>
      </c>
      <c r="B305" t="s">
        <v>93</v>
      </c>
      <c r="C305" t="s">
        <v>567</v>
      </c>
      <c r="D305" t="s">
        <v>15</v>
      </c>
      <c r="E305" t="s">
        <v>18</v>
      </c>
      <c r="F305" t="s">
        <v>19</v>
      </c>
      <c r="G305" t="s">
        <v>568</v>
      </c>
      <c r="H305">
        <v>0</v>
      </c>
      <c r="I305">
        <v>1</v>
      </c>
      <c r="J305" t="s">
        <v>815</v>
      </c>
      <c r="K305">
        <f>IF(AND(H305=OFICIAL!F8, I305=OFICIAL!G8), 5, 0)</f>
        <v>5</v>
      </c>
    </row>
    <row r="306" spans="1:11" x14ac:dyDescent="0.25">
      <c r="A306" t="s">
        <v>69</v>
      </c>
      <c r="B306" t="s">
        <v>93</v>
      </c>
      <c r="C306" t="s">
        <v>569</v>
      </c>
      <c r="D306" t="s">
        <v>10</v>
      </c>
      <c r="E306" t="s">
        <v>20</v>
      </c>
      <c r="F306" t="s">
        <v>21</v>
      </c>
      <c r="G306" t="s">
        <v>570</v>
      </c>
      <c r="H306">
        <v>0</v>
      </c>
      <c r="I306">
        <v>2</v>
      </c>
      <c r="J306" t="s">
        <v>814</v>
      </c>
      <c r="K306">
        <f>IF(AND(H306=OFICIAL!F9, I306=OFICIAL!G9), 5, 0)</f>
        <v>0</v>
      </c>
    </row>
    <row r="307" spans="1:11" x14ac:dyDescent="0.25">
      <c r="A307" t="s">
        <v>69</v>
      </c>
      <c r="B307" t="s">
        <v>93</v>
      </c>
      <c r="C307" t="s">
        <v>571</v>
      </c>
      <c r="D307" t="s">
        <v>22</v>
      </c>
      <c r="E307" t="s">
        <v>23</v>
      </c>
      <c r="F307" t="s">
        <v>24</v>
      </c>
      <c r="G307" t="s">
        <v>572</v>
      </c>
      <c r="H307">
        <v>3</v>
      </c>
      <c r="I307">
        <v>0</v>
      </c>
      <c r="J307" t="s">
        <v>816</v>
      </c>
      <c r="K307">
        <f>IF(AND(H307=OFICIAL!F10, I307=OFICIAL!G10), 5, 0)</f>
        <v>0</v>
      </c>
    </row>
    <row r="308" spans="1:11" x14ac:dyDescent="0.25">
      <c r="A308" t="s">
        <v>69</v>
      </c>
      <c r="B308" t="s">
        <v>93</v>
      </c>
      <c r="C308" t="s">
        <v>573</v>
      </c>
      <c r="D308" t="s">
        <v>25</v>
      </c>
      <c r="E308" t="s">
        <v>26</v>
      </c>
      <c r="F308" t="s">
        <v>27</v>
      </c>
      <c r="G308" t="s">
        <v>574</v>
      </c>
      <c r="H308">
        <v>2</v>
      </c>
      <c r="I308">
        <v>2</v>
      </c>
      <c r="J308" t="s">
        <v>817</v>
      </c>
      <c r="K308">
        <f>IF(AND(H308=OFICIAL!F11, I308=OFICIAL!G11), 5, 0)</f>
        <v>5</v>
      </c>
    </row>
    <row r="309" spans="1:11" x14ac:dyDescent="0.25">
      <c r="A309" t="s">
        <v>69</v>
      </c>
      <c r="B309" t="s">
        <v>93</v>
      </c>
      <c r="C309" t="s">
        <v>575</v>
      </c>
      <c r="D309" t="s">
        <v>22</v>
      </c>
      <c r="E309" t="s">
        <v>28</v>
      </c>
      <c r="F309" t="s">
        <v>29</v>
      </c>
      <c r="G309" t="s">
        <v>576</v>
      </c>
      <c r="H309">
        <v>0</v>
      </c>
      <c r="I309">
        <v>1</v>
      </c>
      <c r="J309" t="s">
        <v>816</v>
      </c>
      <c r="K309">
        <f>IF(AND(H309=OFICIAL!F12, I309=OFICIAL!G12), 5, 0)</f>
        <v>0</v>
      </c>
    </row>
    <row r="310" spans="1:11" x14ac:dyDescent="0.25">
      <c r="A310" t="s">
        <v>69</v>
      </c>
      <c r="B310" t="s">
        <v>93</v>
      </c>
      <c r="C310" t="s">
        <v>577</v>
      </c>
      <c r="D310" t="s">
        <v>25</v>
      </c>
      <c r="E310" t="s">
        <v>30</v>
      </c>
      <c r="F310" t="s">
        <v>31</v>
      </c>
      <c r="G310" t="s">
        <v>578</v>
      </c>
      <c r="H310">
        <v>3</v>
      </c>
      <c r="I310">
        <v>2</v>
      </c>
      <c r="J310" t="s">
        <v>817</v>
      </c>
      <c r="K310">
        <f>IF(AND(H310=OFICIAL!F13, I310=OFICIAL!G13), 5, 0)</f>
        <v>0</v>
      </c>
    </row>
    <row r="311" spans="1:11" x14ac:dyDescent="0.25">
      <c r="A311" t="s">
        <v>69</v>
      </c>
      <c r="B311" t="s">
        <v>93</v>
      </c>
      <c r="C311" t="s">
        <v>579</v>
      </c>
      <c r="D311" t="s">
        <v>32</v>
      </c>
      <c r="E311" t="s">
        <v>33</v>
      </c>
      <c r="F311" t="s">
        <v>34</v>
      </c>
      <c r="G311" t="s">
        <v>580</v>
      </c>
      <c r="H311">
        <v>4</v>
      </c>
      <c r="I311">
        <v>0</v>
      </c>
      <c r="J311" t="s">
        <v>818</v>
      </c>
      <c r="K311">
        <f>IF(AND(H311=OFICIAL!F14, I311=OFICIAL!G14), 5, 0)</f>
        <v>0</v>
      </c>
    </row>
    <row r="312" spans="1:11" x14ac:dyDescent="0.25">
      <c r="A312" t="s">
        <v>69</v>
      </c>
      <c r="B312" t="s">
        <v>93</v>
      </c>
      <c r="C312" t="s">
        <v>581</v>
      </c>
      <c r="D312" t="s">
        <v>35</v>
      </c>
      <c r="E312" t="s">
        <v>36</v>
      </c>
      <c r="F312" t="s">
        <v>37</v>
      </c>
      <c r="G312" t="s">
        <v>582</v>
      </c>
      <c r="H312">
        <v>2</v>
      </c>
      <c r="I312">
        <v>1</v>
      </c>
      <c r="J312" t="s">
        <v>819</v>
      </c>
      <c r="K312">
        <f>IF(AND(H312=OFICIAL!F15, I312=OFICIAL!G15), 5, 0)</f>
        <v>0</v>
      </c>
    </row>
    <row r="313" spans="1:11" x14ac:dyDescent="0.25">
      <c r="A313" t="s">
        <v>69</v>
      </c>
      <c r="B313" t="s">
        <v>93</v>
      </c>
      <c r="C313" t="s">
        <v>583</v>
      </c>
      <c r="D313" t="s">
        <v>32</v>
      </c>
      <c r="E313" t="s">
        <v>38</v>
      </c>
      <c r="F313" t="s">
        <v>39</v>
      </c>
      <c r="G313" t="s">
        <v>584</v>
      </c>
      <c r="H313">
        <v>1</v>
      </c>
      <c r="I313">
        <v>2</v>
      </c>
      <c r="J313" t="s">
        <v>818</v>
      </c>
      <c r="K313">
        <f>IF(AND(H313=OFICIAL!F16, I313=OFICIAL!G16), 5, 0)</f>
        <v>0</v>
      </c>
    </row>
    <row r="314" spans="1:11" x14ac:dyDescent="0.25">
      <c r="A314" t="s">
        <v>69</v>
      </c>
      <c r="B314" t="s">
        <v>93</v>
      </c>
      <c r="C314" t="s">
        <v>585</v>
      </c>
      <c r="D314" t="s">
        <v>35</v>
      </c>
      <c r="E314" t="s">
        <v>40</v>
      </c>
      <c r="F314" t="s">
        <v>41</v>
      </c>
      <c r="G314" t="s">
        <v>586</v>
      </c>
      <c r="H314">
        <v>1</v>
      </c>
      <c r="I314">
        <v>1</v>
      </c>
      <c r="J314" t="s">
        <v>819</v>
      </c>
      <c r="K314">
        <f>IF(AND(H314=OFICIAL!F17, I314=OFICIAL!G17), 5, 0)</f>
        <v>0</v>
      </c>
    </row>
    <row r="315" spans="1:11" x14ac:dyDescent="0.25">
      <c r="A315" t="s">
        <v>69</v>
      </c>
      <c r="B315" t="s">
        <v>93</v>
      </c>
      <c r="C315" t="s">
        <v>587</v>
      </c>
      <c r="D315" t="s">
        <v>42</v>
      </c>
      <c r="E315" t="s">
        <v>43</v>
      </c>
      <c r="F315" t="s">
        <v>44</v>
      </c>
      <c r="G315" t="s">
        <v>588</v>
      </c>
      <c r="H315">
        <v>3</v>
      </c>
      <c r="I315">
        <v>0</v>
      </c>
      <c r="J315" t="s">
        <v>820</v>
      </c>
      <c r="K315">
        <f>IF(AND(H315=OFICIAL!F18, I315=OFICIAL!G18), 5, 0)</f>
        <v>0</v>
      </c>
    </row>
    <row r="316" spans="1:11" x14ac:dyDescent="0.25">
      <c r="A316" t="s">
        <v>69</v>
      </c>
      <c r="B316" t="s">
        <v>93</v>
      </c>
      <c r="C316" t="s">
        <v>589</v>
      </c>
      <c r="D316" t="s">
        <v>42</v>
      </c>
      <c r="E316" t="s">
        <v>45</v>
      </c>
      <c r="F316" t="s">
        <v>46</v>
      </c>
      <c r="G316" t="s">
        <v>590</v>
      </c>
      <c r="H316">
        <v>0</v>
      </c>
      <c r="I316">
        <v>2</v>
      </c>
      <c r="J316" t="s">
        <v>820</v>
      </c>
      <c r="K316">
        <f>IF(AND(H316=OFICIAL!F19, I316=OFICIAL!G19), 5, 0)</f>
        <v>0</v>
      </c>
    </row>
    <row r="317" spans="1:11" x14ac:dyDescent="0.25">
      <c r="A317" t="s">
        <v>69</v>
      </c>
      <c r="B317" t="s">
        <v>93</v>
      </c>
      <c r="C317" t="s">
        <v>591</v>
      </c>
      <c r="D317" t="s">
        <v>47</v>
      </c>
      <c r="E317" t="s">
        <v>48</v>
      </c>
      <c r="F317" t="s">
        <v>49</v>
      </c>
      <c r="G317" t="s">
        <v>592</v>
      </c>
      <c r="H317">
        <v>4</v>
      </c>
      <c r="I317">
        <v>0</v>
      </c>
      <c r="J317" t="s">
        <v>821</v>
      </c>
      <c r="K317">
        <f>IF(AND(H317=OFICIAL!F20, I317=OFICIAL!G20), 5, 0)</f>
        <v>0</v>
      </c>
    </row>
    <row r="318" spans="1:11" x14ac:dyDescent="0.25">
      <c r="A318" t="s">
        <v>69</v>
      </c>
      <c r="B318" t="s">
        <v>93</v>
      </c>
      <c r="C318" t="s">
        <v>593</v>
      </c>
      <c r="D318" t="s">
        <v>47</v>
      </c>
      <c r="E318" t="s">
        <v>50</v>
      </c>
      <c r="F318" t="s">
        <v>51</v>
      </c>
      <c r="G318" t="s">
        <v>594</v>
      </c>
      <c r="H318">
        <v>2</v>
      </c>
      <c r="I318">
        <v>1</v>
      </c>
      <c r="J318" t="s">
        <v>821</v>
      </c>
      <c r="K318">
        <f>IF(AND(H318=OFICIAL!F21, I318=OFICIAL!G21), 5, 0)</f>
        <v>0</v>
      </c>
    </row>
    <row r="319" spans="1:11" x14ac:dyDescent="0.25">
      <c r="A319" t="s">
        <v>69</v>
      </c>
      <c r="B319" t="s">
        <v>93</v>
      </c>
      <c r="C319" t="s">
        <v>595</v>
      </c>
      <c r="D319" t="s">
        <v>52</v>
      </c>
      <c r="E319" t="s">
        <v>53</v>
      </c>
      <c r="F319" t="s">
        <v>54</v>
      </c>
      <c r="G319" t="s">
        <v>596</v>
      </c>
      <c r="H319">
        <v>3</v>
      </c>
      <c r="I319">
        <v>0</v>
      </c>
      <c r="J319" t="s">
        <v>822</v>
      </c>
      <c r="K319">
        <f>IF(AND(H319=OFICIAL!F22, I319=OFICIAL!G22), 5, 0)</f>
        <v>0</v>
      </c>
    </row>
    <row r="320" spans="1:11" x14ac:dyDescent="0.25">
      <c r="A320" t="s">
        <v>69</v>
      </c>
      <c r="B320" t="s">
        <v>93</v>
      </c>
      <c r="C320" t="s">
        <v>597</v>
      </c>
      <c r="D320" t="s">
        <v>55</v>
      </c>
      <c r="E320" t="s">
        <v>56</v>
      </c>
      <c r="F320" t="s">
        <v>57</v>
      </c>
      <c r="G320" t="s">
        <v>598</v>
      </c>
      <c r="H320">
        <v>3</v>
      </c>
      <c r="I320">
        <v>1</v>
      </c>
      <c r="J320" t="s">
        <v>823</v>
      </c>
      <c r="K320">
        <f>IF(AND(H320=OFICIAL!F23, I320=OFICIAL!G23), 5, 0)</f>
        <v>0</v>
      </c>
    </row>
    <row r="321" spans="1:11" x14ac:dyDescent="0.25">
      <c r="A321" t="s">
        <v>69</v>
      </c>
      <c r="B321" t="s">
        <v>93</v>
      </c>
      <c r="C321" t="s">
        <v>599</v>
      </c>
      <c r="D321" t="s">
        <v>55</v>
      </c>
      <c r="E321" t="s">
        <v>58</v>
      </c>
      <c r="F321" t="s">
        <v>59</v>
      </c>
      <c r="G321" t="s">
        <v>600</v>
      </c>
      <c r="H321">
        <v>1</v>
      </c>
      <c r="I321">
        <v>1</v>
      </c>
      <c r="J321" t="s">
        <v>823</v>
      </c>
      <c r="K321">
        <f>IF(AND(H321=OFICIAL!F24, I321=OFICIAL!G24), 5, 0)</f>
        <v>0</v>
      </c>
    </row>
    <row r="322" spans="1:11" x14ac:dyDescent="0.25">
      <c r="A322" t="s">
        <v>69</v>
      </c>
      <c r="B322" t="s">
        <v>93</v>
      </c>
      <c r="C322" t="s">
        <v>601</v>
      </c>
      <c r="D322" t="s">
        <v>52</v>
      </c>
      <c r="E322" t="s">
        <v>60</v>
      </c>
      <c r="F322" t="s">
        <v>61</v>
      </c>
      <c r="G322" t="s">
        <v>602</v>
      </c>
      <c r="H322">
        <v>1</v>
      </c>
      <c r="I322">
        <v>2</v>
      </c>
      <c r="J322" t="s">
        <v>822</v>
      </c>
      <c r="K322">
        <f>IF(AND(H322=OFICIAL!F25, I322=OFICIAL!G25), 5, 0)</f>
        <v>0</v>
      </c>
    </row>
    <row r="323" spans="1:11" x14ac:dyDescent="0.25">
      <c r="A323" t="s">
        <v>69</v>
      </c>
      <c r="B323" t="s">
        <v>93</v>
      </c>
      <c r="C323" t="s">
        <v>603</v>
      </c>
      <c r="D323" t="s">
        <v>2</v>
      </c>
      <c r="E323" t="s">
        <v>4</v>
      </c>
      <c r="F323" t="s">
        <v>6</v>
      </c>
      <c r="G323" t="s">
        <v>604</v>
      </c>
      <c r="H323">
        <v>1</v>
      </c>
      <c r="I323">
        <v>0</v>
      </c>
      <c r="J323" t="s">
        <v>812</v>
      </c>
      <c r="K323">
        <f>IF(AND(H323=OFICIAL!F26, I323=OFICIAL!G26), 5, 0)</f>
        <v>0</v>
      </c>
    </row>
    <row r="324" spans="1:11" x14ac:dyDescent="0.25">
      <c r="A324" t="s">
        <v>69</v>
      </c>
      <c r="B324" t="s">
        <v>93</v>
      </c>
      <c r="C324" t="s">
        <v>605</v>
      </c>
      <c r="D324" t="s">
        <v>7</v>
      </c>
      <c r="E324" t="s">
        <v>9</v>
      </c>
      <c r="F324" t="s">
        <v>14</v>
      </c>
      <c r="G324" t="s">
        <v>606</v>
      </c>
      <c r="H324">
        <v>1</v>
      </c>
      <c r="I324">
        <v>3</v>
      </c>
      <c r="J324" t="s">
        <v>813</v>
      </c>
      <c r="K324">
        <f>IF(AND(H324=OFICIAL!F27, I324=OFICIAL!G27), 5, 0)</f>
        <v>0</v>
      </c>
    </row>
    <row r="325" spans="1:11" x14ac:dyDescent="0.25">
      <c r="A325" t="s">
        <v>69</v>
      </c>
      <c r="B325" t="s">
        <v>93</v>
      </c>
      <c r="C325" t="s">
        <v>607</v>
      </c>
      <c r="D325" t="s">
        <v>7</v>
      </c>
      <c r="E325" t="s">
        <v>8</v>
      </c>
      <c r="F325" t="s">
        <v>13</v>
      </c>
      <c r="G325" t="s">
        <v>608</v>
      </c>
      <c r="H325">
        <v>0</v>
      </c>
      <c r="I325">
        <v>1</v>
      </c>
      <c r="J325" t="s">
        <v>813</v>
      </c>
      <c r="K325">
        <f>IF(AND(H325=OFICIAL!F28, I325=OFICIAL!G28), 5, 0)</f>
        <v>0</v>
      </c>
    </row>
    <row r="326" spans="1:11" x14ac:dyDescent="0.25">
      <c r="A326" t="s">
        <v>69</v>
      </c>
      <c r="B326" t="s">
        <v>93</v>
      </c>
      <c r="C326" t="s">
        <v>609</v>
      </c>
      <c r="D326" t="s">
        <v>2</v>
      </c>
      <c r="E326" t="s">
        <v>3</v>
      </c>
      <c r="F326" t="s">
        <v>5</v>
      </c>
      <c r="G326" t="s">
        <v>610</v>
      </c>
      <c r="H326">
        <v>2</v>
      </c>
      <c r="I326">
        <v>1</v>
      </c>
      <c r="J326" t="s">
        <v>812</v>
      </c>
      <c r="K326">
        <f>IF(AND(H326=OFICIAL!F29, I326=OFICIAL!G29), 5, 0)</f>
        <v>0</v>
      </c>
    </row>
    <row r="327" spans="1:11" x14ac:dyDescent="0.25">
      <c r="A327" t="s">
        <v>69</v>
      </c>
      <c r="B327" t="s">
        <v>93</v>
      </c>
      <c r="C327" t="s">
        <v>611</v>
      </c>
      <c r="D327" t="s">
        <v>10</v>
      </c>
      <c r="E327" t="s">
        <v>11</v>
      </c>
      <c r="F327" t="s">
        <v>20</v>
      </c>
      <c r="G327" t="s">
        <v>612</v>
      </c>
      <c r="H327">
        <v>1</v>
      </c>
      <c r="I327">
        <v>1</v>
      </c>
      <c r="J327" t="s">
        <v>814</v>
      </c>
      <c r="K327">
        <f>IF(AND(H327=OFICIAL!F30, I327=OFICIAL!G30), 5, 0)</f>
        <v>0</v>
      </c>
    </row>
    <row r="328" spans="1:11" x14ac:dyDescent="0.25">
      <c r="A328" t="s">
        <v>69</v>
      </c>
      <c r="B328" t="s">
        <v>93</v>
      </c>
      <c r="C328" t="s">
        <v>613</v>
      </c>
      <c r="D328" t="s">
        <v>15</v>
      </c>
      <c r="E328" t="s">
        <v>17</v>
      </c>
      <c r="F328" t="s">
        <v>19</v>
      </c>
      <c r="G328" t="s">
        <v>614</v>
      </c>
      <c r="H328">
        <v>2</v>
      </c>
      <c r="I328">
        <v>1</v>
      </c>
      <c r="J328" t="s">
        <v>815</v>
      </c>
      <c r="K328">
        <f>IF(AND(H328=OFICIAL!F31, I328=OFICIAL!G31), 5, 0)</f>
        <v>0</v>
      </c>
    </row>
    <row r="329" spans="1:11" x14ac:dyDescent="0.25">
      <c r="A329" t="s">
        <v>69</v>
      </c>
      <c r="B329" t="s">
        <v>93</v>
      </c>
      <c r="C329" t="s">
        <v>615</v>
      </c>
      <c r="D329" t="s">
        <v>15</v>
      </c>
      <c r="E329" t="s">
        <v>16</v>
      </c>
      <c r="F329" t="s">
        <v>18</v>
      </c>
      <c r="G329" t="s">
        <v>616</v>
      </c>
      <c r="H329">
        <v>3</v>
      </c>
      <c r="I329">
        <v>0</v>
      </c>
      <c r="J329" t="s">
        <v>815</v>
      </c>
      <c r="K329">
        <f>IF(AND(H329=OFICIAL!F32, I329=OFICIAL!G32), 5, 0)</f>
        <v>5</v>
      </c>
    </row>
    <row r="330" spans="1:11" x14ac:dyDescent="0.25">
      <c r="A330" t="s">
        <v>69</v>
      </c>
      <c r="B330" t="s">
        <v>93</v>
      </c>
      <c r="C330" t="s">
        <v>617</v>
      </c>
      <c r="D330" t="s">
        <v>10</v>
      </c>
      <c r="E330" t="s">
        <v>12</v>
      </c>
      <c r="F330" t="s">
        <v>21</v>
      </c>
      <c r="G330" t="s">
        <v>618</v>
      </c>
      <c r="H330">
        <v>1</v>
      </c>
      <c r="I330">
        <v>0</v>
      </c>
      <c r="J330" t="s">
        <v>814</v>
      </c>
      <c r="K330">
        <f>IF(AND(H330=OFICIAL!F33, I330=OFICIAL!G33), 5, 0)</f>
        <v>5</v>
      </c>
    </row>
    <row r="331" spans="1:11" x14ac:dyDescent="0.25">
      <c r="A331" t="s">
        <v>69</v>
      </c>
      <c r="B331" t="s">
        <v>93</v>
      </c>
      <c r="C331" t="s">
        <v>619</v>
      </c>
      <c r="D331" t="s">
        <v>25</v>
      </c>
      <c r="E331" t="s">
        <v>26</v>
      </c>
      <c r="F331" t="s">
        <v>30</v>
      </c>
      <c r="G331" t="s">
        <v>620</v>
      </c>
      <c r="H331">
        <v>1</v>
      </c>
      <c r="I331">
        <v>2</v>
      </c>
      <c r="J331" t="s">
        <v>817</v>
      </c>
      <c r="K331">
        <f>IF(AND(H331=OFICIAL!F34, I331=OFICIAL!G34), 5, 0)</f>
        <v>0</v>
      </c>
    </row>
    <row r="332" spans="1:11" x14ac:dyDescent="0.25">
      <c r="A332" t="s">
        <v>69</v>
      </c>
      <c r="B332" t="s">
        <v>93</v>
      </c>
      <c r="C332" t="s">
        <v>623</v>
      </c>
      <c r="D332" t="s">
        <v>22</v>
      </c>
      <c r="E332" t="s">
        <v>23</v>
      </c>
      <c r="F332" t="s">
        <v>28</v>
      </c>
      <c r="G332" t="s">
        <v>624</v>
      </c>
      <c r="H332">
        <v>4</v>
      </c>
      <c r="I332">
        <v>1</v>
      </c>
      <c r="J332" t="s">
        <v>816</v>
      </c>
      <c r="K332">
        <f>IF(AND(H332=OFICIAL!F35, I332=OFICIAL!G35), 5, 0)</f>
        <v>0</v>
      </c>
    </row>
    <row r="333" spans="1:11" x14ac:dyDescent="0.25">
      <c r="A333" t="s">
        <v>69</v>
      </c>
      <c r="B333" t="s">
        <v>93</v>
      </c>
      <c r="C333" t="s">
        <v>625</v>
      </c>
      <c r="D333" t="s">
        <v>22</v>
      </c>
      <c r="E333" t="s">
        <v>24</v>
      </c>
      <c r="F333" t="s">
        <v>29</v>
      </c>
      <c r="G333" t="s">
        <v>626</v>
      </c>
      <c r="H333">
        <v>2</v>
      </c>
      <c r="I333">
        <v>3</v>
      </c>
      <c r="J333" t="s">
        <v>816</v>
      </c>
      <c r="K333">
        <f>IF(AND(H333=OFICIAL!F36, I333=OFICIAL!G36), 5, 0)</f>
        <v>0</v>
      </c>
    </row>
    <row r="334" spans="1:11" x14ac:dyDescent="0.25">
      <c r="A334" t="s">
        <v>69</v>
      </c>
      <c r="B334" t="s">
        <v>93</v>
      </c>
      <c r="C334" t="s">
        <v>627</v>
      </c>
      <c r="D334" t="s">
        <v>25</v>
      </c>
      <c r="E334" t="s">
        <v>27</v>
      </c>
      <c r="F334" t="s">
        <v>31</v>
      </c>
      <c r="G334" t="s">
        <v>628</v>
      </c>
      <c r="H334">
        <v>2</v>
      </c>
      <c r="I334">
        <v>2</v>
      </c>
      <c r="J334" t="s">
        <v>817</v>
      </c>
      <c r="K334">
        <f>IF(AND(H334=OFICIAL!F37, I334=OFICIAL!G37), 5, 0)</f>
        <v>0</v>
      </c>
    </row>
    <row r="335" spans="1:11" x14ac:dyDescent="0.25">
      <c r="A335" t="s">
        <v>69</v>
      </c>
      <c r="B335" t="s">
        <v>93</v>
      </c>
      <c r="C335" t="s">
        <v>629</v>
      </c>
      <c r="D335" t="s">
        <v>32</v>
      </c>
      <c r="E335" t="s">
        <v>33</v>
      </c>
      <c r="F335" t="s">
        <v>38</v>
      </c>
      <c r="G335" t="s">
        <v>630</v>
      </c>
      <c r="H335">
        <v>2</v>
      </c>
      <c r="I335">
        <v>1</v>
      </c>
      <c r="J335" t="s">
        <v>818</v>
      </c>
      <c r="K335">
        <f>IF(AND(H335=OFICIAL!F38, I335=OFICIAL!G38), 5, 0)</f>
        <v>0</v>
      </c>
    </row>
    <row r="336" spans="1:11" x14ac:dyDescent="0.25">
      <c r="A336" t="s">
        <v>69</v>
      </c>
      <c r="B336" t="s">
        <v>93</v>
      </c>
      <c r="C336" t="s">
        <v>631</v>
      </c>
      <c r="D336" t="s">
        <v>35</v>
      </c>
      <c r="E336" t="s">
        <v>36</v>
      </c>
      <c r="F336" t="s">
        <v>40</v>
      </c>
      <c r="G336" t="s">
        <v>632</v>
      </c>
      <c r="H336">
        <v>2</v>
      </c>
      <c r="I336">
        <v>0</v>
      </c>
      <c r="J336" t="s">
        <v>819</v>
      </c>
      <c r="K336">
        <f>IF(AND(H336=OFICIAL!F39, I336=OFICIAL!G39), 5, 0)</f>
        <v>0</v>
      </c>
    </row>
    <row r="337" spans="1:11" x14ac:dyDescent="0.25">
      <c r="A337" t="s">
        <v>69</v>
      </c>
      <c r="B337" t="s">
        <v>93</v>
      </c>
      <c r="C337" s="4" t="s">
        <v>633</v>
      </c>
      <c r="D337" t="s">
        <v>32</v>
      </c>
      <c r="E337" t="s">
        <v>34</v>
      </c>
      <c r="F337" t="s">
        <v>39</v>
      </c>
      <c r="G337" t="s">
        <v>634</v>
      </c>
      <c r="H337">
        <v>0</v>
      </c>
      <c r="I337">
        <v>2</v>
      </c>
      <c r="J337" t="s">
        <v>818</v>
      </c>
      <c r="K337">
        <f>IF(AND(H337=OFICIAL!F40, I337=OFICIAL!G40), 5, 0)</f>
        <v>0</v>
      </c>
    </row>
    <row r="338" spans="1:11" x14ac:dyDescent="0.25">
      <c r="A338" t="s">
        <v>69</v>
      </c>
      <c r="B338" t="s">
        <v>93</v>
      </c>
      <c r="C338" t="s">
        <v>635</v>
      </c>
      <c r="D338" t="s">
        <v>35</v>
      </c>
      <c r="E338" t="s">
        <v>37</v>
      </c>
      <c r="F338" t="s">
        <v>41</v>
      </c>
      <c r="G338" t="s">
        <v>636</v>
      </c>
      <c r="H338">
        <v>2</v>
      </c>
      <c r="I338">
        <v>2</v>
      </c>
      <c r="J338" t="s">
        <v>819</v>
      </c>
      <c r="K338">
        <f>IF(AND(H338=OFICIAL!F41, I338=OFICIAL!G41), 5, 0)</f>
        <v>0</v>
      </c>
    </row>
    <row r="339" spans="1:11" x14ac:dyDescent="0.25">
      <c r="A339" t="s">
        <v>69</v>
      </c>
      <c r="B339" t="s">
        <v>93</v>
      </c>
      <c r="C339" s="4" t="s">
        <v>637</v>
      </c>
      <c r="D339" t="s">
        <v>47</v>
      </c>
      <c r="E339" t="s">
        <v>48</v>
      </c>
      <c r="F339" t="s">
        <v>50</v>
      </c>
      <c r="G339" t="s">
        <v>638</v>
      </c>
      <c r="H339">
        <v>3</v>
      </c>
      <c r="I339">
        <v>1</v>
      </c>
      <c r="J339" t="s">
        <v>821</v>
      </c>
      <c r="K339">
        <f>IF(AND(H339=OFICIAL!F42, I339=OFICIAL!G42), 5, 0)</f>
        <v>0</v>
      </c>
    </row>
    <row r="340" spans="1:11" x14ac:dyDescent="0.25">
      <c r="A340" t="s">
        <v>69</v>
      </c>
      <c r="B340" t="s">
        <v>93</v>
      </c>
      <c r="C340" t="s">
        <v>639</v>
      </c>
      <c r="D340" t="s">
        <v>42</v>
      </c>
      <c r="E340" t="s">
        <v>43</v>
      </c>
      <c r="F340" t="s">
        <v>45</v>
      </c>
      <c r="G340" t="s">
        <v>640</v>
      </c>
      <c r="H340">
        <v>4</v>
      </c>
      <c r="I340">
        <v>1</v>
      </c>
      <c r="J340" t="s">
        <v>820</v>
      </c>
      <c r="K340">
        <f>IF(AND(H340=OFICIAL!F43, I340=OFICIAL!G43), 5, 0)</f>
        <v>0</v>
      </c>
    </row>
    <row r="341" spans="1:11" x14ac:dyDescent="0.25">
      <c r="A341" t="s">
        <v>69</v>
      </c>
      <c r="B341" t="s">
        <v>93</v>
      </c>
      <c r="C341" t="s">
        <v>641</v>
      </c>
      <c r="D341" t="s">
        <v>42</v>
      </c>
      <c r="E341" t="s">
        <v>44</v>
      </c>
      <c r="F341" t="s">
        <v>46</v>
      </c>
      <c r="G341" t="s">
        <v>642</v>
      </c>
      <c r="H341">
        <v>0</v>
      </c>
      <c r="I341">
        <v>1</v>
      </c>
      <c r="J341" t="s">
        <v>820</v>
      </c>
      <c r="K341">
        <f>IF(AND(H341=OFICIAL!F44, I341=OFICIAL!G44), 5, 0)</f>
        <v>0</v>
      </c>
    </row>
    <row r="342" spans="1:11" x14ac:dyDescent="0.25">
      <c r="A342" t="s">
        <v>69</v>
      </c>
      <c r="B342" t="s">
        <v>93</v>
      </c>
      <c r="C342" t="s">
        <v>643</v>
      </c>
      <c r="D342" t="s">
        <v>47</v>
      </c>
      <c r="E342" t="s">
        <v>49</v>
      </c>
      <c r="F342" t="s">
        <v>51</v>
      </c>
      <c r="G342" t="s">
        <v>644</v>
      </c>
      <c r="H342">
        <v>1</v>
      </c>
      <c r="I342">
        <v>1</v>
      </c>
      <c r="J342" t="s">
        <v>821</v>
      </c>
      <c r="K342">
        <f>IF(AND(H342=OFICIAL!F45, I342=OFICIAL!G45), 5, 0)</f>
        <v>0</v>
      </c>
    </row>
    <row r="343" spans="1:11" x14ac:dyDescent="0.25">
      <c r="A343" t="s">
        <v>69</v>
      </c>
      <c r="B343" t="s">
        <v>93</v>
      </c>
      <c r="C343" t="s">
        <v>645</v>
      </c>
      <c r="D343" t="s">
        <v>52</v>
      </c>
      <c r="E343" t="s">
        <v>53</v>
      </c>
      <c r="F343" t="s">
        <v>60</v>
      </c>
      <c r="G343" t="s">
        <v>646</v>
      </c>
      <c r="H343">
        <v>3</v>
      </c>
      <c r="I343">
        <v>0</v>
      </c>
      <c r="J343" t="s">
        <v>822</v>
      </c>
      <c r="K343">
        <f>IF(AND(H343=OFICIAL!F46, I343=OFICIAL!G46), 5, 0)</f>
        <v>0</v>
      </c>
    </row>
    <row r="344" spans="1:11" x14ac:dyDescent="0.25">
      <c r="A344" t="s">
        <v>69</v>
      </c>
      <c r="B344" t="s">
        <v>93</v>
      </c>
      <c r="C344" t="s">
        <v>647</v>
      </c>
      <c r="D344" t="s">
        <v>55</v>
      </c>
      <c r="E344" t="s">
        <v>56</v>
      </c>
      <c r="F344" t="s">
        <v>58</v>
      </c>
      <c r="G344" t="s">
        <v>648</v>
      </c>
      <c r="H344">
        <v>4</v>
      </c>
      <c r="I344">
        <v>0</v>
      </c>
      <c r="J344" t="s">
        <v>823</v>
      </c>
      <c r="K344">
        <f>IF(AND(H344=OFICIAL!F47, I344=OFICIAL!G47), 5, 0)</f>
        <v>0</v>
      </c>
    </row>
    <row r="345" spans="1:11" x14ac:dyDescent="0.25">
      <c r="A345" t="s">
        <v>69</v>
      </c>
      <c r="B345" t="s">
        <v>93</v>
      </c>
      <c r="C345" t="s">
        <v>649</v>
      </c>
      <c r="D345" t="s">
        <v>55</v>
      </c>
      <c r="E345" t="s">
        <v>57</v>
      </c>
      <c r="F345" t="s">
        <v>59</v>
      </c>
      <c r="G345" t="s">
        <v>650</v>
      </c>
      <c r="H345">
        <v>1</v>
      </c>
      <c r="I345">
        <v>0</v>
      </c>
      <c r="J345" t="s">
        <v>823</v>
      </c>
      <c r="K345">
        <f>IF(AND(H345=OFICIAL!F48, I345=OFICIAL!G48), 5, 0)</f>
        <v>5</v>
      </c>
    </row>
    <row r="346" spans="1:11" x14ac:dyDescent="0.25">
      <c r="A346" t="s">
        <v>69</v>
      </c>
      <c r="B346" t="s">
        <v>93</v>
      </c>
      <c r="C346" t="s">
        <v>651</v>
      </c>
      <c r="D346" t="s">
        <v>52</v>
      </c>
      <c r="E346" t="s">
        <v>54</v>
      </c>
      <c r="F346" t="s">
        <v>61</v>
      </c>
      <c r="G346" t="s">
        <v>652</v>
      </c>
      <c r="H346">
        <v>0</v>
      </c>
      <c r="I346">
        <v>2</v>
      </c>
      <c r="J346" t="s">
        <v>822</v>
      </c>
      <c r="K346">
        <f>IF(AND(H346=OFICIAL!F49, I346=OFICIAL!G49), 5, 0)</f>
        <v>0</v>
      </c>
    </row>
    <row r="347" spans="1:11" x14ac:dyDescent="0.25">
      <c r="A347" t="s">
        <v>69</v>
      </c>
      <c r="B347" t="s">
        <v>93</v>
      </c>
      <c r="C347" t="s">
        <v>653</v>
      </c>
      <c r="D347" t="s">
        <v>7</v>
      </c>
      <c r="E347" t="s">
        <v>14</v>
      </c>
      <c r="F347" t="s">
        <v>8</v>
      </c>
      <c r="G347" t="s">
        <v>654</v>
      </c>
      <c r="H347">
        <v>2</v>
      </c>
      <c r="I347">
        <v>1</v>
      </c>
      <c r="J347" t="s">
        <v>813</v>
      </c>
      <c r="K347">
        <f>IF(AND(H347=OFICIAL!F50, I347=OFICIAL!G50), 5, 0)</f>
        <v>0</v>
      </c>
    </row>
    <row r="348" spans="1:11" x14ac:dyDescent="0.25">
      <c r="A348" t="s">
        <v>69</v>
      </c>
      <c r="B348" t="s">
        <v>93</v>
      </c>
      <c r="C348" t="s">
        <v>655</v>
      </c>
      <c r="D348" t="s">
        <v>7</v>
      </c>
      <c r="E348" t="s">
        <v>9</v>
      </c>
      <c r="F348" t="s">
        <v>13</v>
      </c>
      <c r="G348" t="s">
        <v>654</v>
      </c>
      <c r="H348">
        <v>0</v>
      </c>
      <c r="I348">
        <v>1</v>
      </c>
      <c r="J348" t="s">
        <v>813</v>
      </c>
      <c r="K348">
        <f>IF(AND(H348=OFICIAL!F51, I348=OFICIAL!G51), 5, 0)</f>
        <v>0</v>
      </c>
    </row>
    <row r="349" spans="1:11" x14ac:dyDescent="0.25">
      <c r="A349" t="s">
        <v>69</v>
      </c>
      <c r="B349" t="s">
        <v>93</v>
      </c>
      <c r="C349" t="s">
        <v>656</v>
      </c>
      <c r="D349" t="s">
        <v>15</v>
      </c>
      <c r="E349" t="s">
        <v>19</v>
      </c>
      <c r="F349" t="s">
        <v>16</v>
      </c>
      <c r="G349" t="s">
        <v>657</v>
      </c>
      <c r="H349">
        <v>1</v>
      </c>
      <c r="I349">
        <v>1</v>
      </c>
      <c r="J349" t="s">
        <v>815</v>
      </c>
      <c r="K349">
        <f>IF(AND(H349=OFICIAL!F52, I349=OFICIAL!G52), 5, 0)</f>
        <v>0</v>
      </c>
    </row>
    <row r="350" spans="1:11" x14ac:dyDescent="0.25">
      <c r="A350" t="s">
        <v>69</v>
      </c>
      <c r="B350" t="s">
        <v>93</v>
      </c>
      <c r="C350" t="s">
        <v>658</v>
      </c>
      <c r="D350" t="s">
        <v>15</v>
      </c>
      <c r="E350" t="s">
        <v>17</v>
      </c>
      <c r="F350" t="s">
        <v>18</v>
      </c>
      <c r="G350" t="s">
        <v>657</v>
      </c>
      <c r="H350">
        <v>3</v>
      </c>
      <c r="I350">
        <v>0</v>
      </c>
      <c r="J350" t="s">
        <v>815</v>
      </c>
      <c r="K350">
        <f>IF(AND(H350=OFICIAL!F53, I350=OFICIAL!G53), 5, 0)</f>
        <v>0</v>
      </c>
    </row>
    <row r="351" spans="1:11" x14ac:dyDescent="0.25">
      <c r="A351" t="s">
        <v>69</v>
      </c>
      <c r="B351" t="s">
        <v>93</v>
      </c>
      <c r="C351" t="s">
        <v>661</v>
      </c>
      <c r="D351" t="s">
        <v>2</v>
      </c>
      <c r="E351" t="s">
        <v>6</v>
      </c>
      <c r="F351" t="s">
        <v>3</v>
      </c>
      <c r="G351" t="s">
        <v>660</v>
      </c>
      <c r="H351">
        <v>0</v>
      </c>
      <c r="I351">
        <v>1</v>
      </c>
      <c r="J351" t="s">
        <v>812</v>
      </c>
      <c r="K351">
        <f>IF(AND(H351=OFICIAL!F54, I351=OFICIAL!G54), 5, 0)</f>
        <v>0</v>
      </c>
    </row>
    <row r="352" spans="1:11" x14ac:dyDescent="0.25">
      <c r="A352" t="s">
        <v>69</v>
      </c>
      <c r="B352" t="s">
        <v>93</v>
      </c>
      <c r="C352" t="s">
        <v>659</v>
      </c>
      <c r="D352" t="s">
        <v>2</v>
      </c>
      <c r="E352" t="s">
        <v>5</v>
      </c>
      <c r="F352" t="s">
        <v>4</v>
      </c>
      <c r="G352" t="s">
        <v>660</v>
      </c>
      <c r="H352">
        <v>3</v>
      </c>
      <c r="I352">
        <v>1</v>
      </c>
      <c r="J352" t="s">
        <v>812</v>
      </c>
      <c r="K352">
        <f>IF(AND(H352=OFICIAL!F55, I352=OFICIAL!G55), 5, 0)</f>
        <v>0</v>
      </c>
    </row>
    <row r="353" spans="1:11" x14ac:dyDescent="0.25">
      <c r="A353" t="s">
        <v>69</v>
      </c>
      <c r="B353" t="s">
        <v>93</v>
      </c>
      <c r="C353" t="s">
        <v>662</v>
      </c>
      <c r="D353" t="s">
        <v>22</v>
      </c>
      <c r="E353" t="s">
        <v>29</v>
      </c>
      <c r="F353" t="s">
        <v>23</v>
      </c>
      <c r="G353" t="s">
        <v>663</v>
      </c>
      <c r="H353">
        <v>1</v>
      </c>
      <c r="I353">
        <v>2</v>
      </c>
      <c r="J353" t="s">
        <v>816</v>
      </c>
      <c r="K353">
        <f>IF(AND(H353=OFICIAL!F56, I353=OFICIAL!G56), 5, 0)</f>
        <v>0</v>
      </c>
    </row>
    <row r="354" spans="1:11" x14ac:dyDescent="0.25">
      <c r="A354" t="s">
        <v>69</v>
      </c>
      <c r="B354" t="s">
        <v>93</v>
      </c>
      <c r="C354" t="s">
        <v>664</v>
      </c>
      <c r="D354" t="s">
        <v>22</v>
      </c>
      <c r="E354" t="s">
        <v>24</v>
      </c>
      <c r="F354" t="s">
        <v>28</v>
      </c>
      <c r="G354" t="s">
        <v>663</v>
      </c>
      <c r="H354">
        <v>1</v>
      </c>
      <c r="I354">
        <v>1</v>
      </c>
      <c r="J354" t="s">
        <v>816</v>
      </c>
      <c r="K354">
        <f>IF(AND(H354=OFICIAL!F57, I354=OFICIAL!G57), 5, 0)</f>
        <v>0</v>
      </c>
    </row>
    <row r="355" spans="1:11" x14ac:dyDescent="0.25">
      <c r="A355" t="s">
        <v>69</v>
      </c>
      <c r="B355" t="s">
        <v>93</v>
      </c>
      <c r="C355" t="s">
        <v>665</v>
      </c>
      <c r="D355" t="s">
        <v>25</v>
      </c>
      <c r="E355" t="s">
        <v>27</v>
      </c>
      <c r="F355" t="s">
        <v>30</v>
      </c>
      <c r="G355" t="s">
        <v>666</v>
      </c>
      <c r="H355">
        <v>1</v>
      </c>
      <c r="I355">
        <v>2</v>
      </c>
      <c r="J355" t="s">
        <v>817</v>
      </c>
      <c r="K355">
        <f>IF(AND(H355=OFICIAL!F58, I355=OFICIAL!G58), 5, 0)</f>
        <v>0</v>
      </c>
    </row>
    <row r="356" spans="1:11" x14ac:dyDescent="0.25">
      <c r="A356" t="s">
        <v>69</v>
      </c>
      <c r="B356" t="s">
        <v>93</v>
      </c>
      <c r="C356" t="s">
        <v>667</v>
      </c>
      <c r="D356" t="s">
        <v>25</v>
      </c>
      <c r="E356" t="s">
        <v>31</v>
      </c>
      <c r="F356" t="s">
        <v>26</v>
      </c>
      <c r="G356" t="s">
        <v>666</v>
      </c>
      <c r="H356">
        <v>0</v>
      </c>
      <c r="I356">
        <v>1</v>
      </c>
      <c r="J356" t="s">
        <v>817</v>
      </c>
      <c r="K356">
        <f>IF(AND(H356=OFICIAL!F59, I356=OFICIAL!G59), 5, 0)</f>
        <v>0</v>
      </c>
    </row>
    <row r="357" spans="1:11" x14ac:dyDescent="0.25">
      <c r="A357" t="s">
        <v>69</v>
      </c>
      <c r="B357" t="s">
        <v>93</v>
      </c>
      <c r="C357" t="s">
        <v>670</v>
      </c>
      <c r="D357" t="s">
        <v>10</v>
      </c>
      <c r="E357" t="s">
        <v>12</v>
      </c>
      <c r="F357" t="s">
        <v>20</v>
      </c>
      <c r="G357" t="s">
        <v>669</v>
      </c>
      <c r="H357">
        <v>2</v>
      </c>
      <c r="I357">
        <v>2</v>
      </c>
      <c r="J357" t="s">
        <v>814</v>
      </c>
      <c r="K357">
        <f>IF(AND(H357=OFICIAL!F60, I357=OFICIAL!G60), 5, 0)</f>
        <v>0</v>
      </c>
    </row>
    <row r="358" spans="1:11" x14ac:dyDescent="0.25">
      <c r="A358" t="s">
        <v>69</v>
      </c>
      <c r="B358" t="s">
        <v>93</v>
      </c>
      <c r="C358" t="s">
        <v>668</v>
      </c>
      <c r="D358" t="s">
        <v>10</v>
      </c>
      <c r="E358" t="s">
        <v>21</v>
      </c>
      <c r="F358" t="s">
        <v>11</v>
      </c>
      <c r="G358" t="s">
        <v>669</v>
      </c>
      <c r="H358">
        <v>2</v>
      </c>
      <c r="I358">
        <v>0</v>
      </c>
      <c r="J358" t="s">
        <v>814</v>
      </c>
      <c r="K358">
        <f>IF(AND(H358=OFICIAL!F61, I358=OFICIAL!G61), 5, 0)</f>
        <v>0</v>
      </c>
    </row>
    <row r="359" spans="1:11" x14ac:dyDescent="0.25">
      <c r="A359" t="s">
        <v>69</v>
      </c>
      <c r="B359" t="s">
        <v>93</v>
      </c>
      <c r="C359" t="s">
        <v>671</v>
      </c>
      <c r="D359" t="s">
        <v>42</v>
      </c>
      <c r="E359" t="s">
        <v>46</v>
      </c>
      <c r="F359" t="s">
        <v>43</v>
      </c>
      <c r="G359" t="s">
        <v>672</v>
      </c>
      <c r="H359">
        <v>2</v>
      </c>
      <c r="I359">
        <v>2</v>
      </c>
      <c r="J359" t="s">
        <v>820</v>
      </c>
      <c r="K359">
        <f>IF(AND(H359=OFICIAL!F62, I359=OFICIAL!G62), 5, 0)</f>
        <v>0</v>
      </c>
    </row>
    <row r="360" spans="1:11" x14ac:dyDescent="0.25">
      <c r="A360" t="s">
        <v>69</v>
      </c>
      <c r="B360" t="s">
        <v>93</v>
      </c>
      <c r="C360" t="s">
        <v>673</v>
      </c>
      <c r="D360" t="s">
        <v>42</v>
      </c>
      <c r="E360" t="s">
        <v>44</v>
      </c>
      <c r="F360" t="s">
        <v>45</v>
      </c>
      <c r="G360" t="s">
        <v>672</v>
      </c>
      <c r="H360">
        <v>1</v>
      </c>
      <c r="I360">
        <v>0</v>
      </c>
      <c r="J360" t="s">
        <v>820</v>
      </c>
      <c r="K360">
        <f>IF(AND(H360=OFICIAL!F63, I360=OFICIAL!G63), 5, 0)</f>
        <v>0</v>
      </c>
    </row>
    <row r="361" spans="1:11" x14ac:dyDescent="0.25">
      <c r="A361" t="s">
        <v>69</v>
      </c>
      <c r="B361" t="s">
        <v>93</v>
      </c>
      <c r="C361" t="s">
        <v>676</v>
      </c>
      <c r="D361" t="s">
        <v>32</v>
      </c>
      <c r="E361" t="s">
        <v>34</v>
      </c>
      <c r="F361" t="s">
        <v>38</v>
      </c>
      <c r="G361" t="s">
        <v>675</v>
      </c>
      <c r="H361">
        <v>1</v>
      </c>
      <c r="I361">
        <v>1</v>
      </c>
      <c r="J361" t="s">
        <v>818</v>
      </c>
      <c r="K361">
        <f>IF(AND(H361=OFICIAL!F64, I361=OFICIAL!G64), 5, 0)</f>
        <v>0</v>
      </c>
    </row>
    <row r="362" spans="1:11" x14ac:dyDescent="0.25">
      <c r="A362" t="s">
        <v>69</v>
      </c>
      <c r="B362" t="s">
        <v>93</v>
      </c>
      <c r="C362" t="s">
        <v>674</v>
      </c>
      <c r="D362" t="s">
        <v>32</v>
      </c>
      <c r="E362" t="s">
        <v>39</v>
      </c>
      <c r="F362" t="s">
        <v>33</v>
      </c>
      <c r="G362" t="s">
        <v>675</v>
      </c>
      <c r="H362">
        <v>1</v>
      </c>
      <c r="I362">
        <v>2</v>
      </c>
      <c r="J362" t="s">
        <v>818</v>
      </c>
      <c r="K362">
        <f>IF(AND(H362=OFICIAL!F65, I362=OFICIAL!G65), 5, 0)</f>
        <v>0</v>
      </c>
    </row>
    <row r="363" spans="1:11" x14ac:dyDescent="0.25">
      <c r="A363" t="s">
        <v>69</v>
      </c>
      <c r="B363" t="s">
        <v>93</v>
      </c>
      <c r="C363" t="s">
        <v>677</v>
      </c>
      <c r="D363" t="s">
        <v>35</v>
      </c>
      <c r="E363" t="s">
        <v>37</v>
      </c>
      <c r="F363" t="s">
        <v>40</v>
      </c>
      <c r="G363" t="s">
        <v>678</v>
      </c>
      <c r="H363">
        <v>1</v>
      </c>
      <c r="I363">
        <v>0</v>
      </c>
      <c r="J363" t="s">
        <v>819</v>
      </c>
      <c r="K363">
        <f>IF(AND(H363=OFICIAL!F66, I363=OFICIAL!G66), 5, 0)</f>
        <v>0</v>
      </c>
    </row>
    <row r="364" spans="1:11" x14ac:dyDescent="0.25">
      <c r="A364" t="s">
        <v>69</v>
      </c>
      <c r="B364" t="s">
        <v>93</v>
      </c>
      <c r="C364" t="s">
        <v>679</v>
      </c>
      <c r="D364" t="s">
        <v>35</v>
      </c>
      <c r="E364" t="s">
        <v>41</v>
      </c>
      <c r="F364" t="s">
        <v>36</v>
      </c>
      <c r="G364" t="s">
        <v>678</v>
      </c>
      <c r="H364">
        <v>2</v>
      </c>
      <c r="I364">
        <v>3</v>
      </c>
      <c r="J364" t="s">
        <v>819</v>
      </c>
      <c r="K364">
        <f>IF(AND(H364=OFICIAL!F67, I364=OFICIAL!G67), 5, 0)</f>
        <v>0</v>
      </c>
    </row>
    <row r="365" spans="1:11" x14ac:dyDescent="0.25">
      <c r="A365" t="s">
        <v>69</v>
      </c>
      <c r="B365" t="s">
        <v>93</v>
      </c>
      <c r="C365" t="s">
        <v>682</v>
      </c>
      <c r="D365" t="s">
        <v>55</v>
      </c>
      <c r="E365" t="s">
        <v>57</v>
      </c>
      <c r="F365" t="s">
        <v>58</v>
      </c>
      <c r="G365" t="s">
        <v>681</v>
      </c>
      <c r="H365">
        <v>2</v>
      </c>
      <c r="I365">
        <v>2</v>
      </c>
      <c r="J365" t="s">
        <v>823</v>
      </c>
      <c r="K365">
        <f>IF(AND(H365=OFICIAL!F68, I365=OFICIAL!G68), 5, 0)</f>
        <v>0</v>
      </c>
    </row>
    <row r="366" spans="1:11" x14ac:dyDescent="0.25">
      <c r="A366" t="s">
        <v>69</v>
      </c>
      <c r="B366" t="s">
        <v>93</v>
      </c>
      <c r="C366" t="s">
        <v>680</v>
      </c>
      <c r="D366" t="s">
        <v>55</v>
      </c>
      <c r="E366" t="s">
        <v>59</v>
      </c>
      <c r="F366" t="s">
        <v>56</v>
      </c>
      <c r="G366" t="s">
        <v>681</v>
      </c>
      <c r="H366">
        <v>1</v>
      </c>
      <c r="I366">
        <v>2</v>
      </c>
      <c r="J366" t="s">
        <v>823</v>
      </c>
      <c r="K366">
        <f>IF(AND(H366=OFICIAL!F69, I366=OFICIAL!G69), 5, 0)</f>
        <v>0</v>
      </c>
    </row>
    <row r="367" spans="1:11" x14ac:dyDescent="0.25">
      <c r="A367" t="s">
        <v>69</v>
      </c>
      <c r="B367" t="s">
        <v>93</v>
      </c>
      <c r="C367" t="s">
        <v>683</v>
      </c>
      <c r="D367" t="s">
        <v>52</v>
      </c>
      <c r="E367" t="s">
        <v>54</v>
      </c>
      <c r="F367" t="s">
        <v>60</v>
      </c>
      <c r="G367" t="s">
        <v>684</v>
      </c>
      <c r="H367">
        <v>1</v>
      </c>
      <c r="I367">
        <v>1</v>
      </c>
      <c r="J367" t="s">
        <v>822</v>
      </c>
      <c r="K367">
        <f>IF(AND(H367=OFICIAL!F70, I367=OFICIAL!G70), 5, 0)</f>
        <v>0</v>
      </c>
    </row>
    <row r="368" spans="1:11" x14ac:dyDescent="0.25">
      <c r="A368" t="s">
        <v>69</v>
      </c>
      <c r="B368" t="s">
        <v>93</v>
      </c>
      <c r="C368" t="s">
        <v>685</v>
      </c>
      <c r="D368" t="s">
        <v>52</v>
      </c>
      <c r="E368" t="s">
        <v>61</v>
      </c>
      <c r="F368" t="s">
        <v>53</v>
      </c>
      <c r="G368" t="s">
        <v>684</v>
      </c>
      <c r="H368">
        <v>2</v>
      </c>
      <c r="I368">
        <v>2</v>
      </c>
      <c r="J368" t="s">
        <v>822</v>
      </c>
      <c r="K368">
        <f>IF(AND(H368=OFICIAL!F71, I368=OFICIAL!G71), 5, 0)</f>
        <v>0</v>
      </c>
    </row>
    <row r="369" spans="1:12" x14ac:dyDescent="0.25">
      <c r="A369" t="s">
        <v>69</v>
      </c>
      <c r="B369" t="s">
        <v>93</v>
      </c>
      <c r="C369" t="s">
        <v>686</v>
      </c>
      <c r="D369" t="s">
        <v>47</v>
      </c>
      <c r="E369" t="s">
        <v>49</v>
      </c>
      <c r="F369" t="s">
        <v>50</v>
      </c>
      <c r="G369" t="s">
        <v>687</v>
      </c>
      <c r="H369">
        <v>0</v>
      </c>
      <c r="I369">
        <v>1</v>
      </c>
      <c r="J369" t="s">
        <v>821</v>
      </c>
      <c r="K369">
        <f>IF(AND(H369=OFICIAL!F72, I369=OFICIAL!G72), 5, 0)</f>
        <v>0</v>
      </c>
    </row>
    <row r="370" spans="1:12" x14ac:dyDescent="0.25">
      <c r="A370" t="s">
        <v>69</v>
      </c>
      <c r="B370" t="s">
        <v>93</v>
      </c>
      <c r="C370" s="4" t="s">
        <v>688</v>
      </c>
      <c r="D370" t="s">
        <v>47</v>
      </c>
      <c r="E370" t="s">
        <v>51</v>
      </c>
      <c r="F370" t="s">
        <v>48</v>
      </c>
      <c r="G370" t="s">
        <v>687</v>
      </c>
      <c r="H370">
        <v>1</v>
      </c>
      <c r="I370">
        <v>3</v>
      </c>
      <c r="J370" t="s">
        <v>821</v>
      </c>
      <c r="K370">
        <f>IF(AND(H370=OFICIAL!F73, I370=OFICIAL!G73), 5, 0)</f>
        <v>0</v>
      </c>
    </row>
    <row r="371" spans="1:12" x14ac:dyDescent="0.25">
      <c r="C371" s="4"/>
    </row>
    <row r="372" spans="1:12" ht="18" customHeight="1" thickBot="1" x14ac:dyDescent="0.3">
      <c r="A372" s="23" t="s">
        <v>70</v>
      </c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</row>
    <row r="373" spans="1:12" ht="15.75" thickBot="1" x14ac:dyDescent="0.3">
      <c r="A373" t="s">
        <v>71</v>
      </c>
      <c r="B373" t="s">
        <v>95</v>
      </c>
      <c r="C373" t="s">
        <v>554</v>
      </c>
      <c r="D373" t="s">
        <v>2</v>
      </c>
      <c r="E373" t="s">
        <v>3</v>
      </c>
      <c r="F373" t="s">
        <v>4</v>
      </c>
      <c r="G373" t="s">
        <v>555</v>
      </c>
      <c r="H373">
        <v>2</v>
      </c>
      <c r="I373">
        <v>1</v>
      </c>
      <c r="J373" t="s">
        <v>824</v>
      </c>
      <c r="K373">
        <f>IF(AND(H373=OFICIAL!F2, I373=OFICIAL!G2), 5, 0)</f>
        <v>0</v>
      </c>
      <c r="L373" s="6">
        <f>SUM(K373:K444)</f>
        <v>15</v>
      </c>
    </row>
    <row r="374" spans="1:12" x14ac:dyDescent="0.25">
      <c r="A374" t="s">
        <v>71</v>
      </c>
      <c r="B374" t="s">
        <v>95</v>
      </c>
      <c r="C374" t="s">
        <v>557</v>
      </c>
      <c r="D374" t="s">
        <v>2</v>
      </c>
      <c r="E374" t="s">
        <v>5</v>
      </c>
      <c r="F374" t="s">
        <v>6</v>
      </c>
      <c r="G374" t="s">
        <v>558</v>
      </c>
      <c r="H374">
        <v>1</v>
      </c>
      <c r="I374">
        <v>2</v>
      </c>
      <c r="J374" t="s">
        <v>824</v>
      </c>
      <c r="K374">
        <f>IF(AND(H374=OFICIAL!F3, I374=OFICIAL!G3), 5, 0)</f>
        <v>0</v>
      </c>
    </row>
    <row r="375" spans="1:12" x14ac:dyDescent="0.25">
      <c r="A375" t="s">
        <v>71</v>
      </c>
      <c r="B375" t="s">
        <v>95</v>
      </c>
      <c r="C375" t="s">
        <v>559</v>
      </c>
      <c r="D375" t="s">
        <v>7</v>
      </c>
      <c r="E375" t="s">
        <v>8</v>
      </c>
      <c r="F375" t="s">
        <v>9</v>
      </c>
      <c r="G375" t="s">
        <v>560</v>
      </c>
      <c r="H375">
        <v>1</v>
      </c>
      <c r="I375">
        <v>1</v>
      </c>
      <c r="J375" t="s">
        <v>825</v>
      </c>
      <c r="K375">
        <f>IF(AND(H375=OFICIAL!F4, I375=OFICIAL!G4), 5, 0)</f>
        <v>5</v>
      </c>
    </row>
    <row r="376" spans="1:12" x14ac:dyDescent="0.25">
      <c r="A376" t="s">
        <v>71</v>
      </c>
      <c r="B376" t="s">
        <v>95</v>
      </c>
      <c r="C376" t="s">
        <v>561</v>
      </c>
      <c r="D376" t="s">
        <v>10</v>
      </c>
      <c r="E376" t="s">
        <v>11</v>
      </c>
      <c r="F376" t="s">
        <v>12</v>
      </c>
      <c r="G376" t="s">
        <v>562</v>
      </c>
      <c r="H376">
        <v>1</v>
      </c>
      <c r="I376">
        <v>1</v>
      </c>
      <c r="J376" t="s">
        <v>826</v>
      </c>
      <c r="K376">
        <f>IF(AND(H376=OFICIAL!F5, I376=OFICIAL!G5), 5, 0)</f>
        <v>0</v>
      </c>
    </row>
    <row r="377" spans="1:12" x14ac:dyDescent="0.25">
      <c r="A377" t="s">
        <v>71</v>
      </c>
      <c r="B377" t="s">
        <v>95</v>
      </c>
      <c r="C377" t="s">
        <v>563</v>
      </c>
      <c r="D377" t="s">
        <v>7</v>
      </c>
      <c r="E377" t="s">
        <v>13</v>
      </c>
      <c r="F377" t="s">
        <v>14</v>
      </c>
      <c r="G377" t="s">
        <v>564</v>
      </c>
      <c r="H377">
        <v>0</v>
      </c>
      <c r="I377">
        <v>2</v>
      </c>
      <c r="J377" t="s">
        <v>825</v>
      </c>
      <c r="K377">
        <f>IF(AND(H377=OFICIAL!F6, I377=OFICIAL!G6), 5, 0)</f>
        <v>0</v>
      </c>
    </row>
    <row r="378" spans="1:12" x14ac:dyDescent="0.25">
      <c r="A378" t="s">
        <v>71</v>
      </c>
      <c r="B378" t="s">
        <v>95</v>
      </c>
      <c r="C378" t="s">
        <v>565</v>
      </c>
      <c r="D378" t="s">
        <v>15</v>
      </c>
      <c r="E378" t="s">
        <v>16</v>
      </c>
      <c r="F378" t="s">
        <v>17</v>
      </c>
      <c r="G378" t="s">
        <v>566</v>
      </c>
      <c r="H378">
        <v>2</v>
      </c>
      <c r="I378">
        <v>1</v>
      </c>
      <c r="J378" t="s">
        <v>827</v>
      </c>
      <c r="K378">
        <f>IF(AND(H378=OFICIAL!F7, I378=OFICIAL!G7), 5, 0)</f>
        <v>0</v>
      </c>
    </row>
    <row r="379" spans="1:12" x14ac:dyDescent="0.25">
      <c r="A379" t="s">
        <v>71</v>
      </c>
      <c r="B379" t="s">
        <v>95</v>
      </c>
      <c r="C379" t="s">
        <v>567</v>
      </c>
      <c r="D379" t="s">
        <v>15</v>
      </c>
      <c r="E379" t="s">
        <v>18</v>
      </c>
      <c r="F379" t="s">
        <v>19</v>
      </c>
      <c r="G379" t="s">
        <v>568</v>
      </c>
      <c r="H379">
        <v>0</v>
      </c>
      <c r="I379">
        <v>2</v>
      </c>
      <c r="J379" t="s">
        <v>827</v>
      </c>
      <c r="K379">
        <f>IF(AND(H379=OFICIAL!F8, I379=OFICIAL!G8), 5, 0)</f>
        <v>0</v>
      </c>
    </row>
    <row r="380" spans="1:12" x14ac:dyDescent="0.25">
      <c r="A380" t="s">
        <v>71</v>
      </c>
      <c r="B380" t="s">
        <v>95</v>
      </c>
      <c r="C380" t="s">
        <v>569</v>
      </c>
      <c r="D380" t="s">
        <v>10</v>
      </c>
      <c r="E380" t="s">
        <v>20</v>
      </c>
      <c r="F380" t="s">
        <v>21</v>
      </c>
      <c r="G380" t="s">
        <v>570</v>
      </c>
      <c r="H380">
        <v>1</v>
      </c>
      <c r="I380">
        <v>2</v>
      </c>
      <c r="J380" t="s">
        <v>826</v>
      </c>
      <c r="K380">
        <f>IF(AND(H380=OFICIAL!F9, I380=OFICIAL!G9), 5, 0)</f>
        <v>0</v>
      </c>
    </row>
    <row r="381" spans="1:12" x14ac:dyDescent="0.25">
      <c r="A381" t="s">
        <v>71</v>
      </c>
      <c r="B381" t="s">
        <v>95</v>
      </c>
      <c r="C381" t="s">
        <v>571</v>
      </c>
      <c r="D381" t="s">
        <v>22</v>
      </c>
      <c r="E381" t="s">
        <v>23</v>
      </c>
      <c r="F381" t="s">
        <v>24</v>
      </c>
      <c r="G381" t="s">
        <v>572</v>
      </c>
      <c r="H381">
        <v>3</v>
      </c>
      <c r="I381">
        <v>0</v>
      </c>
      <c r="J381" t="s">
        <v>828</v>
      </c>
      <c r="K381">
        <f>IF(AND(H381=OFICIAL!F10, I381=OFICIAL!G10), 5, 0)</f>
        <v>0</v>
      </c>
    </row>
    <row r="382" spans="1:12" x14ac:dyDescent="0.25">
      <c r="A382" t="s">
        <v>71</v>
      </c>
      <c r="B382" t="s">
        <v>95</v>
      </c>
      <c r="C382" t="s">
        <v>573</v>
      </c>
      <c r="D382" t="s">
        <v>25</v>
      </c>
      <c r="E382" t="s">
        <v>26</v>
      </c>
      <c r="F382" t="s">
        <v>27</v>
      </c>
      <c r="G382" t="s">
        <v>574</v>
      </c>
      <c r="H382">
        <v>2</v>
      </c>
      <c r="I382">
        <v>0</v>
      </c>
      <c r="J382" t="s">
        <v>829</v>
      </c>
      <c r="K382">
        <f>IF(AND(H382=OFICIAL!F11, I382=OFICIAL!G11), 5, 0)</f>
        <v>0</v>
      </c>
    </row>
    <row r="383" spans="1:12" x14ac:dyDescent="0.25">
      <c r="A383" t="s">
        <v>71</v>
      </c>
      <c r="B383" t="s">
        <v>95</v>
      </c>
      <c r="C383" t="s">
        <v>575</v>
      </c>
      <c r="D383" t="s">
        <v>22</v>
      </c>
      <c r="E383" t="s">
        <v>28</v>
      </c>
      <c r="F383" t="s">
        <v>29</v>
      </c>
      <c r="G383" t="s">
        <v>576</v>
      </c>
      <c r="H383">
        <v>0</v>
      </c>
      <c r="I383">
        <v>2</v>
      </c>
      <c r="J383" t="s">
        <v>828</v>
      </c>
      <c r="K383">
        <f>IF(AND(H383=OFICIAL!F12, I383=OFICIAL!G12), 5, 0)</f>
        <v>0</v>
      </c>
    </row>
    <row r="384" spans="1:12" x14ac:dyDescent="0.25">
      <c r="A384" t="s">
        <v>71</v>
      </c>
      <c r="B384" t="s">
        <v>95</v>
      </c>
      <c r="C384" t="s">
        <v>577</v>
      </c>
      <c r="D384" t="s">
        <v>25</v>
      </c>
      <c r="E384" t="s">
        <v>30</v>
      </c>
      <c r="F384" t="s">
        <v>31</v>
      </c>
      <c r="G384" t="s">
        <v>578</v>
      </c>
      <c r="H384">
        <v>2</v>
      </c>
      <c r="I384">
        <v>0</v>
      </c>
      <c r="J384" t="s">
        <v>829</v>
      </c>
      <c r="K384">
        <f>IF(AND(H384=OFICIAL!F13, I384=OFICIAL!G13), 5, 0)</f>
        <v>0</v>
      </c>
    </row>
    <row r="385" spans="1:11" x14ac:dyDescent="0.25">
      <c r="A385" t="s">
        <v>71</v>
      </c>
      <c r="B385" t="s">
        <v>95</v>
      </c>
      <c r="C385" t="s">
        <v>579</v>
      </c>
      <c r="D385" t="s">
        <v>32</v>
      </c>
      <c r="E385" t="s">
        <v>33</v>
      </c>
      <c r="F385" t="s">
        <v>34</v>
      </c>
      <c r="G385" t="s">
        <v>580</v>
      </c>
      <c r="H385">
        <v>3</v>
      </c>
      <c r="I385">
        <v>0</v>
      </c>
      <c r="J385" t="s">
        <v>830</v>
      </c>
      <c r="K385">
        <f>IF(AND(H385=OFICIAL!F14, I385=OFICIAL!G14), 5, 0)</f>
        <v>0</v>
      </c>
    </row>
    <row r="386" spans="1:11" x14ac:dyDescent="0.25">
      <c r="A386" t="s">
        <v>71</v>
      </c>
      <c r="B386" t="s">
        <v>95</v>
      </c>
      <c r="C386" t="s">
        <v>581</v>
      </c>
      <c r="D386" t="s">
        <v>35</v>
      </c>
      <c r="E386" t="s">
        <v>36</v>
      </c>
      <c r="F386" t="s">
        <v>37</v>
      </c>
      <c r="G386" t="s">
        <v>582</v>
      </c>
      <c r="H386">
        <v>2</v>
      </c>
      <c r="I386">
        <v>0</v>
      </c>
      <c r="J386" t="s">
        <v>831</v>
      </c>
      <c r="K386">
        <f>IF(AND(H386=OFICIAL!F15, I386=OFICIAL!G15), 5, 0)</f>
        <v>0</v>
      </c>
    </row>
    <row r="387" spans="1:11" x14ac:dyDescent="0.25">
      <c r="A387" t="s">
        <v>71</v>
      </c>
      <c r="B387" t="s">
        <v>95</v>
      </c>
      <c r="C387" t="s">
        <v>583</v>
      </c>
      <c r="D387" t="s">
        <v>32</v>
      </c>
      <c r="E387" t="s">
        <v>38</v>
      </c>
      <c r="F387" t="s">
        <v>39</v>
      </c>
      <c r="G387" t="s">
        <v>584</v>
      </c>
      <c r="H387">
        <v>0</v>
      </c>
      <c r="I387">
        <v>3</v>
      </c>
      <c r="J387" t="s">
        <v>830</v>
      </c>
      <c r="K387">
        <f>IF(AND(H387=OFICIAL!F16, I387=OFICIAL!G16), 5, 0)</f>
        <v>0</v>
      </c>
    </row>
    <row r="388" spans="1:11" x14ac:dyDescent="0.25">
      <c r="A388" t="s">
        <v>71</v>
      </c>
      <c r="B388" t="s">
        <v>95</v>
      </c>
      <c r="C388" t="s">
        <v>585</v>
      </c>
      <c r="D388" t="s">
        <v>35</v>
      </c>
      <c r="E388" t="s">
        <v>40</v>
      </c>
      <c r="F388" t="s">
        <v>41</v>
      </c>
      <c r="G388" t="s">
        <v>586</v>
      </c>
      <c r="H388">
        <v>1</v>
      </c>
      <c r="I388">
        <v>0</v>
      </c>
      <c r="J388" t="s">
        <v>831</v>
      </c>
      <c r="K388">
        <f>IF(AND(H388=OFICIAL!F17, I388=OFICIAL!G17), 5, 0)</f>
        <v>0</v>
      </c>
    </row>
    <row r="389" spans="1:11" x14ac:dyDescent="0.25">
      <c r="A389" t="s">
        <v>71</v>
      </c>
      <c r="B389" t="s">
        <v>95</v>
      </c>
      <c r="C389" t="s">
        <v>587</v>
      </c>
      <c r="D389" t="s">
        <v>42</v>
      </c>
      <c r="E389" t="s">
        <v>43</v>
      </c>
      <c r="F389" t="s">
        <v>44</v>
      </c>
      <c r="G389" t="s">
        <v>588</v>
      </c>
      <c r="H389">
        <v>3</v>
      </c>
      <c r="I389">
        <v>1</v>
      </c>
      <c r="J389" t="s">
        <v>832</v>
      </c>
      <c r="K389">
        <f>IF(AND(H389=OFICIAL!F18, I389=OFICIAL!G18), 5, 0)</f>
        <v>5</v>
      </c>
    </row>
    <row r="390" spans="1:11" x14ac:dyDescent="0.25">
      <c r="A390" t="s">
        <v>71</v>
      </c>
      <c r="B390" t="s">
        <v>95</v>
      </c>
      <c r="C390" t="s">
        <v>589</v>
      </c>
      <c r="D390" t="s">
        <v>42</v>
      </c>
      <c r="E390" t="s">
        <v>45</v>
      </c>
      <c r="F390" t="s">
        <v>46</v>
      </c>
      <c r="G390" t="s">
        <v>590</v>
      </c>
      <c r="H390">
        <v>1</v>
      </c>
      <c r="I390">
        <v>2</v>
      </c>
      <c r="J390" t="s">
        <v>832</v>
      </c>
      <c r="K390">
        <f>IF(AND(H390=OFICIAL!F19, I390=OFICIAL!G19), 5, 0)</f>
        <v>0</v>
      </c>
    </row>
    <row r="391" spans="1:11" x14ac:dyDescent="0.25">
      <c r="A391" t="s">
        <v>71</v>
      </c>
      <c r="B391" t="s">
        <v>95</v>
      </c>
      <c r="C391" t="s">
        <v>591</v>
      </c>
      <c r="D391" t="s">
        <v>47</v>
      </c>
      <c r="E391" t="s">
        <v>48</v>
      </c>
      <c r="F391" t="s">
        <v>49</v>
      </c>
      <c r="G391" t="s">
        <v>592</v>
      </c>
      <c r="H391">
        <v>2</v>
      </c>
      <c r="I391">
        <v>0</v>
      </c>
      <c r="J391" t="s">
        <v>833</v>
      </c>
      <c r="K391">
        <f>IF(AND(H391=OFICIAL!F20, I391=OFICIAL!G20), 5, 0)</f>
        <v>0</v>
      </c>
    </row>
    <row r="392" spans="1:11" x14ac:dyDescent="0.25">
      <c r="A392" t="s">
        <v>71</v>
      </c>
      <c r="B392" t="s">
        <v>95</v>
      </c>
      <c r="C392" t="s">
        <v>593</v>
      </c>
      <c r="D392" t="s">
        <v>47</v>
      </c>
      <c r="E392" t="s">
        <v>50</v>
      </c>
      <c r="F392" t="s">
        <v>51</v>
      </c>
      <c r="G392" t="s">
        <v>594</v>
      </c>
      <c r="H392">
        <v>2</v>
      </c>
      <c r="I392">
        <v>0</v>
      </c>
      <c r="J392" t="s">
        <v>833</v>
      </c>
      <c r="K392">
        <f>IF(AND(H392=OFICIAL!F21, I392=OFICIAL!G21), 5, 0)</f>
        <v>0</v>
      </c>
    </row>
    <row r="393" spans="1:11" x14ac:dyDescent="0.25">
      <c r="A393" t="s">
        <v>71</v>
      </c>
      <c r="B393" t="s">
        <v>95</v>
      </c>
      <c r="C393" t="s">
        <v>595</v>
      </c>
      <c r="D393" t="s">
        <v>52</v>
      </c>
      <c r="E393" t="s">
        <v>53</v>
      </c>
      <c r="F393" t="s">
        <v>54</v>
      </c>
      <c r="G393" t="s">
        <v>596</v>
      </c>
      <c r="H393">
        <v>3</v>
      </c>
      <c r="I393">
        <v>0</v>
      </c>
      <c r="J393" t="s">
        <v>834</v>
      </c>
      <c r="K393">
        <f>IF(AND(H393=OFICIAL!F22, I393=OFICIAL!G22), 5, 0)</f>
        <v>0</v>
      </c>
    </row>
    <row r="394" spans="1:11" x14ac:dyDescent="0.25">
      <c r="A394" t="s">
        <v>71</v>
      </c>
      <c r="B394" t="s">
        <v>95</v>
      </c>
      <c r="C394" t="s">
        <v>597</v>
      </c>
      <c r="D394" t="s">
        <v>55</v>
      </c>
      <c r="E394" t="s">
        <v>56</v>
      </c>
      <c r="F394" t="s">
        <v>57</v>
      </c>
      <c r="G394" t="s">
        <v>598</v>
      </c>
      <c r="H394">
        <v>2</v>
      </c>
      <c r="I394">
        <v>1</v>
      </c>
      <c r="J394" t="s">
        <v>835</v>
      </c>
      <c r="K394">
        <f>IF(AND(H394=OFICIAL!F23, I394=OFICIAL!G23), 5, 0)</f>
        <v>0</v>
      </c>
    </row>
    <row r="395" spans="1:11" x14ac:dyDescent="0.25">
      <c r="A395" t="s">
        <v>71</v>
      </c>
      <c r="B395" t="s">
        <v>95</v>
      </c>
      <c r="C395" t="s">
        <v>599</v>
      </c>
      <c r="D395" t="s">
        <v>55</v>
      </c>
      <c r="E395" t="s">
        <v>58</v>
      </c>
      <c r="F395" t="s">
        <v>59</v>
      </c>
      <c r="G395" t="s">
        <v>600</v>
      </c>
      <c r="H395">
        <v>2</v>
      </c>
      <c r="I395">
        <v>0</v>
      </c>
      <c r="J395" t="s">
        <v>835</v>
      </c>
      <c r="K395">
        <f>IF(AND(H395=OFICIAL!F24, I395=OFICIAL!G24), 5, 0)</f>
        <v>0</v>
      </c>
    </row>
    <row r="396" spans="1:11" x14ac:dyDescent="0.25">
      <c r="A396" t="s">
        <v>71</v>
      </c>
      <c r="B396" t="s">
        <v>95</v>
      </c>
      <c r="C396" t="s">
        <v>601</v>
      </c>
      <c r="D396" t="s">
        <v>52</v>
      </c>
      <c r="E396" t="s">
        <v>60</v>
      </c>
      <c r="F396" t="s">
        <v>61</v>
      </c>
      <c r="G396" t="s">
        <v>602</v>
      </c>
      <c r="H396">
        <v>0</v>
      </c>
      <c r="I396">
        <v>2</v>
      </c>
      <c r="J396" t="s">
        <v>834</v>
      </c>
      <c r="K396">
        <f>IF(AND(H396=OFICIAL!F25, I396=OFICIAL!G25), 5, 0)</f>
        <v>0</v>
      </c>
    </row>
    <row r="397" spans="1:11" x14ac:dyDescent="0.25">
      <c r="A397" t="s">
        <v>71</v>
      </c>
      <c r="B397" t="s">
        <v>95</v>
      </c>
      <c r="C397" t="s">
        <v>603</v>
      </c>
      <c r="D397" t="s">
        <v>2</v>
      </c>
      <c r="E397" t="s">
        <v>4</v>
      </c>
      <c r="F397" t="s">
        <v>6</v>
      </c>
      <c r="G397" t="s">
        <v>604</v>
      </c>
      <c r="H397">
        <v>1</v>
      </c>
      <c r="I397">
        <v>2</v>
      </c>
      <c r="J397" t="s">
        <v>824</v>
      </c>
      <c r="K397">
        <f>IF(AND(H397=OFICIAL!F26, I397=OFICIAL!G26), 5, 0)</f>
        <v>0</v>
      </c>
    </row>
    <row r="398" spans="1:11" x14ac:dyDescent="0.25">
      <c r="A398" t="s">
        <v>71</v>
      </c>
      <c r="B398" t="s">
        <v>95</v>
      </c>
      <c r="C398" t="s">
        <v>605</v>
      </c>
      <c r="D398" t="s">
        <v>7</v>
      </c>
      <c r="E398" t="s">
        <v>9</v>
      </c>
      <c r="F398" t="s">
        <v>14</v>
      </c>
      <c r="G398" t="s">
        <v>606</v>
      </c>
      <c r="H398">
        <v>1</v>
      </c>
      <c r="I398">
        <v>2</v>
      </c>
      <c r="J398" t="s">
        <v>825</v>
      </c>
      <c r="K398">
        <f>IF(AND(H398=OFICIAL!F27, I398=OFICIAL!G27), 5, 0)</f>
        <v>0</v>
      </c>
    </row>
    <row r="399" spans="1:11" x14ac:dyDescent="0.25">
      <c r="A399" t="s">
        <v>71</v>
      </c>
      <c r="B399" t="s">
        <v>95</v>
      </c>
      <c r="C399" t="s">
        <v>607</v>
      </c>
      <c r="D399" t="s">
        <v>7</v>
      </c>
      <c r="E399" t="s">
        <v>8</v>
      </c>
      <c r="F399" t="s">
        <v>13</v>
      </c>
      <c r="G399" t="s">
        <v>608</v>
      </c>
      <c r="H399">
        <v>2</v>
      </c>
      <c r="I399">
        <v>0</v>
      </c>
      <c r="J399" t="s">
        <v>825</v>
      </c>
      <c r="K399">
        <f>IF(AND(H399=OFICIAL!F28, I399=OFICIAL!G28), 5, 0)</f>
        <v>0</v>
      </c>
    </row>
    <row r="400" spans="1:11" x14ac:dyDescent="0.25">
      <c r="A400" t="s">
        <v>71</v>
      </c>
      <c r="B400" t="s">
        <v>95</v>
      </c>
      <c r="C400" t="s">
        <v>609</v>
      </c>
      <c r="D400" t="s">
        <v>2</v>
      </c>
      <c r="E400" t="s">
        <v>3</v>
      </c>
      <c r="F400" t="s">
        <v>5</v>
      </c>
      <c r="G400" t="s">
        <v>610</v>
      </c>
      <c r="H400">
        <v>2</v>
      </c>
      <c r="I400">
        <v>0</v>
      </c>
      <c r="J400" t="s">
        <v>824</v>
      </c>
      <c r="K400">
        <f>IF(AND(H400=OFICIAL!F29, I400=OFICIAL!G29), 5, 0)</f>
        <v>0</v>
      </c>
    </row>
    <row r="401" spans="1:11" x14ac:dyDescent="0.25">
      <c r="A401" t="s">
        <v>71</v>
      </c>
      <c r="B401" t="s">
        <v>95</v>
      </c>
      <c r="C401" t="s">
        <v>611</v>
      </c>
      <c r="D401" t="s">
        <v>10</v>
      </c>
      <c r="E401" t="s">
        <v>11</v>
      </c>
      <c r="F401" t="s">
        <v>20</v>
      </c>
      <c r="G401" t="s">
        <v>612</v>
      </c>
      <c r="H401">
        <v>2</v>
      </c>
      <c r="I401">
        <v>1</v>
      </c>
      <c r="J401" t="s">
        <v>826</v>
      </c>
      <c r="K401">
        <f>IF(AND(H401=OFICIAL!F30, I401=OFICIAL!G30), 5, 0)</f>
        <v>0</v>
      </c>
    </row>
    <row r="402" spans="1:11" x14ac:dyDescent="0.25">
      <c r="A402" t="s">
        <v>71</v>
      </c>
      <c r="B402" t="s">
        <v>95</v>
      </c>
      <c r="C402" t="s">
        <v>613</v>
      </c>
      <c r="D402" t="s">
        <v>15</v>
      </c>
      <c r="E402" t="s">
        <v>17</v>
      </c>
      <c r="F402" t="s">
        <v>19</v>
      </c>
      <c r="G402" t="s">
        <v>614</v>
      </c>
      <c r="H402">
        <v>2</v>
      </c>
      <c r="I402">
        <v>0</v>
      </c>
      <c r="J402" t="s">
        <v>827</v>
      </c>
      <c r="K402">
        <f>IF(AND(H402=OFICIAL!F31, I402=OFICIAL!G31), 5, 0)</f>
        <v>0</v>
      </c>
    </row>
    <row r="403" spans="1:11" x14ac:dyDescent="0.25">
      <c r="A403" t="s">
        <v>71</v>
      </c>
      <c r="B403" t="s">
        <v>95</v>
      </c>
      <c r="C403" t="s">
        <v>615</v>
      </c>
      <c r="D403" t="s">
        <v>15</v>
      </c>
      <c r="E403" t="s">
        <v>16</v>
      </c>
      <c r="F403" t="s">
        <v>18</v>
      </c>
      <c r="G403" t="s">
        <v>616</v>
      </c>
      <c r="H403">
        <v>4</v>
      </c>
      <c r="I403">
        <v>0</v>
      </c>
      <c r="J403" t="s">
        <v>827</v>
      </c>
      <c r="K403">
        <f>IF(AND(H403=OFICIAL!F32, I403=OFICIAL!G32), 5, 0)</f>
        <v>0</v>
      </c>
    </row>
    <row r="404" spans="1:11" x14ac:dyDescent="0.25">
      <c r="A404" t="s">
        <v>71</v>
      </c>
      <c r="B404" t="s">
        <v>95</v>
      </c>
      <c r="C404" t="s">
        <v>617</v>
      </c>
      <c r="D404" t="s">
        <v>10</v>
      </c>
      <c r="E404" t="s">
        <v>12</v>
      </c>
      <c r="F404" t="s">
        <v>21</v>
      </c>
      <c r="G404" t="s">
        <v>618</v>
      </c>
      <c r="H404">
        <v>1</v>
      </c>
      <c r="I404">
        <v>2</v>
      </c>
      <c r="J404" t="s">
        <v>826</v>
      </c>
      <c r="K404">
        <f>IF(AND(H404=OFICIAL!F33, I404=OFICIAL!G33), 5, 0)</f>
        <v>0</v>
      </c>
    </row>
    <row r="405" spans="1:11" x14ac:dyDescent="0.25">
      <c r="A405" t="s">
        <v>71</v>
      </c>
      <c r="B405" t="s">
        <v>95</v>
      </c>
      <c r="C405" t="s">
        <v>619</v>
      </c>
      <c r="D405" t="s">
        <v>25</v>
      </c>
      <c r="E405" t="s">
        <v>26</v>
      </c>
      <c r="F405" t="s">
        <v>30</v>
      </c>
      <c r="G405" t="s">
        <v>620</v>
      </c>
      <c r="H405">
        <v>2</v>
      </c>
      <c r="I405">
        <v>1</v>
      </c>
      <c r="J405" t="s">
        <v>829</v>
      </c>
      <c r="K405">
        <f>IF(AND(H405=OFICIAL!F34, I405=OFICIAL!G34), 5, 0)</f>
        <v>0</v>
      </c>
    </row>
    <row r="406" spans="1:11" x14ac:dyDescent="0.25">
      <c r="A406" t="s">
        <v>71</v>
      </c>
      <c r="B406" t="s">
        <v>95</v>
      </c>
      <c r="C406" t="s">
        <v>623</v>
      </c>
      <c r="D406" t="s">
        <v>22</v>
      </c>
      <c r="E406" t="s">
        <v>23</v>
      </c>
      <c r="F406" t="s">
        <v>28</v>
      </c>
      <c r="G406" t="s">
        <v>624</v>
      </c>
      <c r="H406">
        <v>3</v>
      </c>
      <c r="I406">
        <v>0</v>
      </c>
      <c r="J406" t="s">
        <v>828</v>
      </c>
      <c r="K406">
        <f>IF(AND(H406=OFICIAL!F35, I406=OFICIAL!G35), 5, 0)</f>
        <v>0</v>
      </c>
    </row>
    <row r="407" spans="1:11" x14ac:dyDescent="0.25">
      <c r="A407" t="s">
        <v>71</v>
      </c>
      <c r="B407" t="s">
        <v>95</v>
      </c>
      <c r="C407" t="s">
        <v>625</v>
      </c>
      <c r="D407" t="s">
        <v>22</v>
      </c>
      <c r="E407" t="s">
        <v>24</v>
      </c>
      <c r="F407" t="s">
        <v>29</v>
      </c>
      <c r="G407" t="s">
        <v>626</v>
      </c>
      <c r="H407">
        <v>0</v>
      </c>
      <c r="I407">
        <v>1</v>
      </c>
      <c r="J407" t="s">
        <v>828</v>
      </c>
      <c r="K407">
        <f>IF(AND(H407=OFICIAL!F36, I407=OFICIAL!G36), 5, 0)</f>
        <v>0</v>
      </c>
    </row>
    <row r="408" spans="1:11" x14ac:dyDescent="0.25">
      <c r="A408" t="s">
        <v>71</v>
      </c>
      <c r="B408" t="s">
        <v>95</v>
      </c>
      <c r="C408" t="s">
        <v>627</v>
      </c>
      <c r="D408" t="s">
        <v>25</v>
      </c>
      <c r="E408" t="s">
        <v>27</v>
      </c>
      <c r="F408" t="s">
        <v>31</v>
      </c>
      <c r="G408" t="s">
        <v>628</v>
      </c>
      <c r="H408">
        <v>2</v>
      </c>
      <c r="I408">
        <v>1</v>
      </c>
      <c r="J408" t="s">
        <v>829</v>
      </c>
      <c r="K408">
        <f>IF(AND(H408=OFICIAL!F37, I408=OFICIAL!G37), 5, 0)</f>
        <v>0</v>
      </c>
    </row>
    <row r="409" spans="1:11" x14ac:dyDescent="0.25">
      <c r="A409" t="s">
        <v>71</v>
      </c>
      <c r="B409" t="s">
        <v>95</v>
      </c>
      <c r="C409" t="s">
        <v>629</v>
      </c>
      <c r="D409" t="s">
        <v>32</v>
      </c>
      <c r="E409" t="s">
        <v>33</v>
      </c>
      <c r="F409" t="s">
        <v>38</v>
      </c>
      <c r="G409" t="s">
        <v>630</v>
      </c>
      <c r="H409">
        <v>2</v>
      </c>
      <c r="I409">
        <v>0</v>
      </c>
      <c r="J409" t="s">
        <v>830</v>
      </c>
      <c r="K409">
        <f>IF(AND(H409=OFICIAL!F38, I409=OFICIAL!G38), 5, 0)</f>
        <v>0</v>
      </c>
    </row>
    <row r="410" spans="1:11" x14ac:dyDescent="0.25">
      <c r="A410" t="s">
        <v>71</v>
      </c>
      <c r="B410" t="s">
        <v>95</v>
      </c>
      <c r="C410" t="s">
        <v>631</v>
      </c>
      <c r="D410" t="s">
        <v>35</v>
      </c>
      <c r="E410" t="s">
        <v>36</v>
      </c>
      <c r="F410" t="s">
        <v>40</v>
      </c>
      <c r="G410" t="s">
        <v>632</v>
      </c>
      <c r="H410">
        <v>2</v>
      </c>
      <c r="I410">
        <v>1</v>
      </c>
      <c r="J410" t="s">
        <v>831</v>
      </c>
      <c r="K410">
        <f>IF(AND(H410=OFICIAL!F39, I410=OFICIAL!G39), 5, 0)</f>
        <v>0</v>
      </c>
    </row>
    <row r="411" spans="1:11" x14ac:dyDescent="0.25">
      <c r="A411" t="s">
        <v>71</v>
      </c>
      <c r="B411" t="s">
        <v>95</v>
      </c>
      <c r="C411" s="4" t="s">
        <v>633</v>
      </c>
      <c r="D411" t="s">
        <v>32</v>
      </c>
      <c r="E411" t="s">
        <v>34</v>
      </c>
      <c r="F411" t="s">
        <v>39</v>
      </c>
      <c r="G411" t="s">
        <v>634</v>
      </c>
      <c r="H411">
        <v>0</v>
      </c>
      <c r="I411">
        <v>2</v>
      </c>
      <c r="J411" t="s">
        <v>830</v>
      </c>
      <c r="K411">
        <f>IF(AND(H411=OFICIAL!F40, I411=OFICIAL!G40), 5, 0)</f>
        <v>0</v>
      </c>
    </row>
    <row r="412" spans="1:11" x14ac:dyDescent="0.25">
      <c r="A412" t="s">
        <v>71</v>
      </c>
      <c r="B412" t="s">
        <v>95</v>
      </c>
      <c r="C412" t="s">
        <v>635</v>
      </c>
      <c r="D412" t="s">
        <v>35</v>
      </c>
      <c r="E412" t="s">
        <v>37</v>
      </c>
      <c r="F412" t="s">
        <v>41</v>
      </c>
      <c r="G412" t="s">
        <v>636</v>
      </c>
      <c r="H412">
        <v>1</v>
      </c>
      <c r="I412">
        <v>0</v>
      </c>
      <c r="J412" t="s">
        <v>831</v>
      </c>
      <c r="K412">
        <f>IF(AND(H412=OFICIAL!F41, I412=OFICIAL!G41), 5, 0)</f>
        <v>0</v>
      </c>
    </row>
    <row r="413" spans="1:11" x14ac:dyDescent="0.25">
      <c r="A413" t="s">
        <v>71</v>
      </c>
      <c r="B413" t="s">
        <v>95</v>
      </c>
      <c r="C413" s="4" t="s">
        <v>637</v>
      </c>
      <c r="D413" t="s">
        <v>47</v>
      </c>
      <c r="E413" t="s">
        <v>48</v>
      </c>
      <c r="F413" t="s">
        <v>50</v>
      </c>
      <c r="G413" t="s">
        <v>638</v>
      </c>
      <c r="H413">
        <v>2</v>
      </c>
      <c r="I413">
        <v>0</v>
      </c>
      <c r="J413" t="s">
        <v>833</v>
      </c>
      <c r="K413">
        <f>IF(AND(H413=OFICIAL!F42, I413=OFICIAL!G42), 5, 0)</f>
        <v>5</v>
      </c>
    </row>
    <row r="414" spans="1:11" x14ac:dyDescent="0.25">
      <c r="A414" t="s">
        <v>71</v>
      </c>
      <c r="B414" t="s">
        <v>95</v>
      </c>
      <c r="C414" t="s">
        <v>639</v>
      </c>
      <c r="D414" t="s">
        <v>42</v>
      </c>
      <c r="E414" t="s">
        <v>43</v>
      </c>
      <c r="F414" t="s">
        <v>45</v>
      </c>
      <c r="G414" t="s">
        <v>640</v>
      </c>
      <c r="H414">
        <v>3</v>
      </c>
      <c r="I414">
        <v>1</v>
      </c>
      <c r="J414" t="s">
        <v>832</v>
      </c>
      <c r="K414">
        <f>IF(AND(H414=OFICIAL!F43, I414=OFICIAL!G43), 5, 0)</f>
        <v>0</v>
      </c>
    </row>
    <row r="415" spans="1:11" x14ac:dyDescent="0.25">
      <c r="A415" t="s">
        <v>71</v>
      </c>
      <c r="B415" t="s">
        <v>95</v>
      </c>
      <c r="C415" t="s">
        <v>641</v>
      </c>
      <c r="D415" t="s">
        <v>42</v>
      </c>
      <c r="E415" t="s">
        <v>44</v>
      </c>
      <c r="F415" t="s">
        <v>46</v>
      </c>
      <c r="G415" t="s">
        <v>642</v>
      </c>
      <c r="H415">
        <v>1</v>
      </c>
      <c r="I415">
        <v>2</v>
      </c>
      <c r="J415" t="s">
        <v>832</v>
      </c>
      <c r="K415">
        <f>IF(AND(H415=OFICIAL!F44, I415=OFICIAL!G44), 5, 0)</f>
        <v>0</v>
      </c>
    </row>
    <row r="416" spans="1:11" x14ac:dyDescent="0.25">
      <c r="A416" t="s">
        <v>71</v>
      </c>
      <c r="B416" t="s">
        <v>95</v>
      </c>
      <c r="C416" t="s">
        <v>643</v>
      </c>
      <c r="D416" t="s">
        <v>47</v>
      </c>
      <c r="E416" t="s">
        <v>49</v>
      </c>
      <c r="F416" t="s">
        <v>51</v>
      </c>
      <c r="G416" t="s">
        <v>644</v>
      </c>
      <c r="H416">
        <v>1</v>
      </c>
      <c r="I416">
        <v>1</v>
      </c>
      <c r="J416" t="s">
        <v>833</v>
      </c>
      <c r="K416">
        <f>IF(AND(H416=OFICIAL!F45, I416=OFICIAL!G45), 5, 0)</f>
        <v>0</v>
      </c>
    </row>
    <row r="417" spans="1:11" x14ac:dyDescent="0.25">
      <c r="A417" t="s">
        <v>71</v>
      </c>
      <c r="B417" t="s">
        <v>95</v>
      </c>
      <c r="C417" t="s">
        <v>645</v>
      </c>
      <c r="D417" t="s">
        <v>52</v>
      </c>
      <c r="E417" t="s">
        <v>53</v>
      </c>
      <c r="F417" t="s">
        <v>60</v>
      </c>
      <c r="G417" t="s">
        <v>646</v>
      </c>
      <c r="H417">
        <v>2</v>
      </c>
      <c r="I417">
        <v>0</v>
      </c>
      <c r="J417" t="s">
        <v>834</v>
      </c>
      <c r="K417">
        <f>IF(AND(H417=OFICIAL!F46, I417=OFICIAL!G46), 5, 0)</f>
        <v>0</v>
      </c>
    </row>
    <row r="418" spans="1:11" x14ac:dyDescent="0.25">
      <c r="A418" t="s">
        <v>71</v>
      </c>
      <c r="B418" t="s">
        <v>95</v>
      </c>
      <c r="C418" t="s">
        <v>647</v>
      </c>
      <c r="D418" t="s">
        <v>55</v>
      </c>
      <c r="E418" t="s">
        <v>56</v>
      </c>
      <c r="F418" t="s">
        <v>58</v>
      </c>
      <c r="G418" t="s">
        <v>648</v>
      </c>
      <c r="H418">
        <v>2</v>
      </c>
      <c r="I418">
        <v>1</v>
      </c>
      <c r="J418" t="s">
        <v>835</v>
      </c>
      <c r="K418">
        <f>IF(AND(H418=OFICIAL!F47, I418=OFICIAL!G47), 5, 0)</f>
        <v>0</v>
      </c>
    </row>
    <row r="419" spans="1:11" x14ac:dyDescent="0.25">
      <c r="A419" t="s">
        <v>71</v>
      </c>
      <c r="B419" t="s">
        <v>95</v>
      </c>
      <c r="C419" t="s">
        <v>649</v>
      </c>
      <c r="D419" t="s">
        <v>55</v>
      </c>
      <c r="E419" t="s">
        <v>57</v>
      </c>
      <c r="F419" t="s">
        <v>59</v>
      </c>
      <c r="G419" t="s">
        <v>650</v>
      </c>
      <c r="H419">
        <v>2</v>
      </c>
      <c r="I419">
        <v>0</v>
      </c>
      <c r="J419" t="s">
        <v>835</v>
      </c>
      <c r="K419">
        <f>IF(AND(H419=OFICIAL!F48, I419=OFICIAL!G48), 5, 0)</f>
        <v>0</v>
      </c>
    </row>
    <row r="420" spans="1:11" x14ac:dyDescent="0.25">
      <c r="A420" t="s">
        <v>71</v>
      </c>
      <c r="B420" t="s">
        <v>95</v>
      </c>
      <c r="C420" t="s">
        <v>651</v>
      </c>
      <c r="D420" t="s">
        <v>52</v>
      </c>
      <c r="E420" t="s">
        <v>54</v>
      </c>
      <c r="F420" t="s">
        <v>61</v>
      </c>
      <c r="G420" t="s">
        <v>652</v>
      </c>
      <c r="H420">
        <v>0</v>
      </c>
      <c r="I420">
        <v>2</v>
      </c>
      <c r="J420" t="s">
        <v>834</v>
      </c>
      <c r="K420">
        <f>IF(AND(H420=OFICIAL!F49, I420=OFICIAL!G49), 5, 0)</f>
        <v>0</v>
      </c>
    </row>
    <row r="421" spans="1:11" x14ac:dyDescent="0.25">
      <c r="A421" t="s">
        <v>71</v>
      </c>
      <c r="B421" t="s">
        <v>95</v>
      </c>
      <c r="C421" t="s">
        <v>653</v>
      </c>
      <c r="D421" t="s">
        <v>7</v>
      </c>
      <c r="E421" t="s">
        <v>14</v>
      </c>
      <c r="F421" t="s">
        <v>8</v>
      </c>
      <c r="G421" t="s">
        <v>654</v>
      </c>
      <c r="H421">
        <v>2</v>
      </c>
      <c r="I421">
        <v>0</v>
      </c>
      <c r="J421" t="s">
        <v>825</v>
      </c>
      <c r="K421">
        <f>IF(AND(H421=OFICIAL!F50, I421=OFICIAL!G50), 5, 0)</f>
        <v>0</v>
      </c>
    </row>
    <row r="422" spans="1:11" x14ac:dyDescent="0.25">
      <c r="A422" t="s">
        <v>71</v>
      </c>
      <c r="B422" t="s">
        <v>95</v>
      </c>
      <c r="C422" t="s">
        <v>655</v>
      </c>
      <c r="D422" t="s">
        <v>7</v>
      </c>
      <c r="E422" t="s">
        <v>9</v>
      </c>
      <c r="F422" t="s">
        <v>13</v>
      </c>
      <c r="G422" t="s">
        <v>654</v>
      </c>
      <c r="H422">
        <v>2</v>
      </c>
      <c r="I422">
        <v>0</v>
      </c>
      <c r="J422" t="s">
        <v>825</v>
      </c>
      <c r="K422">
        <f>IF(AND(H422=OFICIAL!F51, I422=OFICIAL!G51), 5, 0)</f>
        <v>0</v>
      </c>
    </row>
    <row r="423" spans="1:11" x14ac:dyDescent="0.25">
      <c r="A423" t="s">
        <v>71</v>
      </c>
      <c r="B423" t="s">
        <v>95</v>
      </c>
      <c r="C423" t="s">
        <v>656</v>
      </c>
      <c r="D423" t="s">
        <v>15</v>
      </c>
      <c r="E423" t="s">
        <v>19</v>
      </c>
      <c r="F423" t="s">
        <v>16</v>
      </c>
      <c r="G423" t="s">
        <v>657</v>
      </c>
      <c r="H423">
        <v>0</v>
      </c>
      <c r="I423">
        <v>3</v>
      </c>
      <c r="J423" t="s">
        <v>827</v>
      </c>
      <c r="K423">
        <f>IF(AND(H423=OFICIAL!F52, I423=OFICIAL!G52), 5, 0)</f>
        <v>0</v>
      </c>
    </row>
    <row r="424" spans="1:11" x14ac:dyDescent="0.25">
      <c r="A424" t="s">
        <v>71</v>
      </c>
      <c r="B424" t="s">
        <v>95</v>
      </c>
      <c r="C424" t="s">
        <v>658</v>
      </c>
      <c r="D424" t="s">
        <v>15</v>
      </c>
      <c r="E424" t="s">
        <v>17</v>
      </c>
      <c r="F424" t="s">
        <v>18</v>
      </c>
      <c r="G424" t="s">
        <v>657</v>
      </c>
      <c r="H424">
        <v>3</v>
      </c>
      <c r="I424">
        <v>0</v>
      </c>
      <c r="J424" t="s">
        <v>827</v>
      </c>
      <c r="K424">
        <f>IF(AND(H424=OFICIAL!F53, I424=OFICIAL!G53), 5, 0)</f>
        <v>0</v>
      </c>
    </row>
    <row r="425" spans="1:11" x14ac:dyDescent="0.25">
      <c r="A425" t="s">
        <v>71</v>
      </c>
      <c r="B425" t="s">
        <v>95</v>
      </c>
      <c r="C425" t="s">
        <v>659</v>
      </c>
      <c r="D425" t="s">
        <v>2</v>
      </c>
      <c r="E425" t="s">
        <v>5</v>
      </c>
      <c r="F425" t="s">
        <v>4</v>
      </c>
      <c r="G425" t="s">
        <v>660</v>
      </c>
      <c r="H425">
        <v>1</v>
      </c>
      <c r="I425">
        <v>0</v>
      </c>
      <c r="J425" t="s">
        <v>824</v>
      </c>
      <c r="K425">
        <f>IF(AND(H425=OFICIAL!F54, I425=OFICIAL!G54), 5, 0)</f>
        <v>0</v>
      </c>
    </row>
    <row r="426" spans="1:11" x14ac:dyDescent="0.25">
      <c r="A426" t="s">
        <v>71</v>
      </c>
      <c r="B426" t="s">
        <v>95</v>
      </c>
      <c r="C426" t="s">
        <v>661</v>
      </c>
      <c r="D426" t="s">
        <v>2</v>
      </c>
      <c r="E426" t="s">
        <v>6</v>
      </c>
      <c r="F426" t="s">
        <v>3</v>
      </c>
      <c r="G426" t="s">
        <v>660</v>
      </c>
      <c r="H426">
        <v>1</v>
      </c>
      <c r="I426">
        <v>2</v>
      </c>
      <c r="J426" t="s">
        <v>824</v>
      </c>
      <c r="K426">
        <f>IF(AND(H426=OFICIAL!F55, I426=OFICIAL!G55), 5, 0)</f>
        <v>0</v>
      </c>
    </row>
    <row r="427" spans="1:11" x14ac:dyDescent="0.25">
      <c r="A427" t="s">
        <v>71</v>
      </c>
      <c r="B427" t="s">
        <v>95</v>
      </c>
      <c r="C427" t="s">
        <v>664</v>
      </c>
      <c r="D427" t="s">
        <v>22</v>
      </c>
      <c r="E427" t="s">
        <v>24</v>
      </c>
      <c r="F427" t="s">
        <v>28</v>
      </c>
      <c r="G427" t="s">
        <v>663</v>
      </c>
      <c r="H427">
        <v>0</v>
      </c>
      <c r="I427">
        <v>1</v>
      </c>
      <c r="J427" t="s">
        <v>828</v>
      </c>
      <c r="K427">
        <f>IF(AND(H427=OFICIAL!F56, I427=OFICIAL!G56), 5, 0)</f>
        <v>0</v>
      </c>
    </row>
    <row r="428" spans="1:11" x14ac:dyDescent="0.25">
      <c r="A428" t="s">
        <v>71</v>
      </c>
      <c r="B428" t="s">
        <v>95</v>
      </c>
      <c r="C428" t="s">
        <v>662</v>
      </c>
      <c r="D428" t="s">
        <v>22</v>
      </c>
      <c r="E428" t="s">
        <v>29</v>
      </c>
      <c r="F428" t="s">
        <v>23</v>
      </c>
      <c r="G428" t="s">
        <v>663</v>
      </c>
      <c r="H428">
        <v>0</v>
      </c>
      <c r="I428">
        <v>2</v>
      </c>
      <c r="J428" t="s">
        <v>828</v>
      </c>
      <c r="K428">
        <f>IF(AND(H428=OFICIAL!F57, I428=OFICIAL!G57), 5, 0)</f>
        <v>0</v>
      </c>
    </row>
    <row r="429" spans="1:11" x14ac:dyDescent="0.25">
      <c r="A429" t="s">
        <v>71</v>
      </c>
      <c r="B429" t="s">
        <v>95</v>
      </c>
      <c r="C429" t="s">
        <v>665</v>
      </c>
      <c r="D429" t="s">
        <v>25</v>
      </c>
      <c r="E429" t="s">
        <v>27</v>
      </c>
      <c r="F429" t="s">
        <v>30</v>
      </c>
      <c r="G429" t="s">
        <v>666</v>
      </c>
      <c r="H429">
        <v>1</v>
      </c>
      <c r="I429">
        <v>2</v>
      </c>
      <c r="J429" t="s">
        <v>829</v>
      </c>
      <c r="K429">
        <f>IF(AND(H429=OFICIAL!F58, I429=OFICIAL!G58), 5, 0)</f>
        <v>0</v>
      </c>
    </row>
    <row r="430" spans="1:11" x14ac:dyDescent="0.25">
      <c r="A430" t="s">
        <v>71</v>
      </c>
      <c r="B430" t="s">
        <v>95</v>
      </c>
      <c r="C430" t="s">
        <v>667</v>
      </c>
      <c r="D430" t="s">
        <v>25</v>
      </c>
      <c r="E430" t="s">
        <v>31</v>
      </c>
      <c r="F430" t="s">
        <v>26</v>
      </c>
      <c r="G430" t="s">
        <v>666</v>
      </c>
      <c r="H430">
        <v>0</v>
      </c>
      <c r="I430">
        <v>2</v>
      </c>
      <c r="J430" t="s">
        <v>829</v>
      </c>
      <c r="K430">
        <f>IF(AND(H430=OFICIAL!F59, I430=OFICIAL!G59), 5, 0)</f>
        <v>0</v>
      </c>
    </row>
    <row r="431" spans="1:11" x14ac:dyDescent="0.25">
      <c r="A431" t="s">
        <v>71</v>
      </c>
      <c r="B431" t="s">
        <v>95</v>
      </c>
      <c r="C431" t="s">
        <v>670</v>
      </c>
      <c r="D431" t="s">
        <v>10</v>
      </c>
      <c r="E431" t="s">
        <v>12</v>
      </c>
      <c r="F431" t="s">
        <v>20</v>
      </c>
      <c r="G431" t="s">
        <v>669</v>
      </c>
      <c r="H431">
        <v>1</v>
      </c>
      <c r="I431">
        <v>0</v>
      </c>
      <c r="J431" t="s">
        <v>826</v>
      </c>
      <c r="K431">
        <f>IF(AND(H431=OFICIAL!F60, I431=OFICIAL!G60), 5, 0)</f>
        <v>0</v>
      </c>
    </row>
    <row r="432" spans="1:11" x14ac:dyDescent="0.25">
      <c r="A432" t="s">
        <v>71</v>
      </c>
      <c r="B432" t="s">
        <v>95</v>
      </c>
      <c r="C432" t="s">
        <v>668</v>
      </c>
      <c r="D432" t="s">
        <v>10</v>
      </c>
      <c r="E432" t="s">
        <v>21</v>
      </c>
      <c r="F432" t="s">
        <v>11</v>
      </c>
      <c r="G432" t="s">
        <v>669</v>
      </c>
      <c r="H432">
        <v>1</v>
      </c>
      <c r="I432">
        <v>1</v>
      </c>
      <c r="J432" t="s">
        <v>826</v>
      </c>
      <c r="K432">
        <f>IF(AND(H432=OFICIAL!F61, I432=OFICIAL!G61), 5, 0)</f>
        <v>0</v>
      </c>
    </row>
    <row r="433" spans="1:12" x14ac:dyDescent="0.25">
      <c r="A433" t="s">
        <v>71</v>
      </c>
      <c r="B433" t="s">
        <v>95</v>
      </c>
      <c r="C433" t="s">
        <v>671</v>
      </c>
      <c r="D433" t="s">
        <v>42</v>
      </c>
      <c r="E433" t="s">
        <v>46</v>
      </c>
      <c r="F433" t="s">
        <v>43</v>
      </c>
      <c r="G433" t="s">
        <v>672</v>
      </c>
      <c r="H433">
        <v>1</v>
      </c>
      <c r="I433">
        <v>2</v>
      </c>
      <c r="J433" t="s">
        <v>832</v>
      </c>
      <c r="K433">
        <f>IF(AND(H433=OFICIAL!F62, I433=OFICIAL!G62), 5, 0)</f>
        <v>0</v>
      </c>
    </row>
    <row r="434" spans="1:12" x14ac:dyDescent="0.25">
      <c r="A434" t="s">
        <v>71</v>
      </c>
      <c r="B434" t="s">
        <v>95</v>
      </c>
      <c r="C434" t="s">
        <v>673</v>
      </c>
      <c r="D434" t="s">
        <v>42</v>
      </c>
      <c r="E434" t="s">
        <v>44</v>
      </c>
      <c r="F434" t="s">
        <v>45</v>
      </c>
      <c r="G434" t="s">
        <v>672</v>
      </c>
      <c r="H434">
        <v>1</v>
      </c>
      <c r="I434">
        <v>1</v>
      </c>
      <c r="J434" t="s">
        <v>832</v>
      </c>
      <c r="K434">
        <f>IF(AND(H434=OFICIAL!F63, I434=OFICIAL!G63), 5, 0)</f>
        <v>0</v>
      </c>
    </row>
    <row r="435" spans="1:12" x14ac:dyDescent="0.25">
      <c r="A435" t="s">
        <v>71</v>
      </c>
      <c r="B435" t="s">
        <v>95</v>
      </c>
      <c r="C435" t="s">
        <v>674</v>
      </c>
      <c r="D435" t="s">
        <v>32</v>
      </c>
      <c r="E435" t="s">
        <v>39</v>
      </c>
      <c r="F435" t="s">
        <v>33</v>
      </c>
      <c r="G435" t="s">
        <v>675</v>
      </c>
      <c r="H435">
        <v>1</v>
      </c>
      <c r="I435">
        <v>2</v>
      </c>
      <c r="J435" t="s">
        <v>830</v>
      </c>
      <c r="K435">
        <f>IF(AND(H435=OFICIAL!F64, I435=OFICIAL!G64), 5, 0)</f>
        <v>0</v>
      </c>
    </row>
    <row r="436" spans="1:12" x14ac:dyDescent="0.25">
      <c r="A436" t="s">
        <v>71</v>
      </c>
      <c r="B436" t="s">
        <v>95</v>
      </c>
      <c r="C436" t="s">
        <v>676</v>
      </c>
      <c r="D436" t="s">
        <v>32</v>
      </c>
      <c r="E436" t="s">
        <v>34</v>
      </c>
      <c r="F436" t="s">
        <v>38</v>
      </c>
      <c r="G436" t="s">
        <v>675</v>
      </c>
      <c r="H436">
        <v>1</v>
      </c>
      <c r="I436">
        <v>1</v>
      </c>
      <c r="J436" t="s">
        <v>830</v>
      </c>
      <c r="K436">
        <f>IF(AND(H436=OFICIAL!F65, I436=OFICIAL!G65), 5, 0)</f>
        <v>0</v>
      </c>
    </row>
    <row r="437" spans="1:12" x14ac:dyDescent="0.25">
      <c r="A437" t="s">
        <v>71</v>
      </c>
      <c r="B437" t="s">
        <v>95</v>
      </c>
      <c r="C437" t="s">
        <v>679</v>
      </c>
      <c r="D437" t="s">
        <v>35</v>
      </c>
      <c r="E437" t="s">
        <v>41</v>
      </c>
      <c r="F437" t="s">
        <v>36</v>
      </c>
      <c r="G437" t="s">
        <v>678</v>
      </c>
      <c r="H437">
        <v>1</v>
      </c>
      <c r="I437">
        <v>2</v>
      </c>
      <c r="J437" t="s">
        <v>831</v>
      </c>
      <c r="K437">
        <f>IF(AND(H437=OFICIAL!F66, I437=OFICIAL!G66), 5, 0)</f>
        <v>0</v>
      </c>
    </row>
    <row r="438" spans="1:12" x14ac:dyDescent="0.25">
      <c r="A438" t="s">
        <v>71</v>
      </c>
      <c r="B438" t="s">
        <v>95</v>
      </c>
      <c r="C438" t="s">
        <v>677</v>
      </c>
      <c r="D438" t="s">
        <v>35</v>
      </c>
      <c r="E438" t="s">
        <v>37</v>
      </c>
      <c r="F438" t="s">
        <v>40</v>
      </c>
      <c r="G438" t="s">
        <v>678</v>
      </c>
      <c r="H438">
        <v>1</v>
      </c>
      <c r="I438">
        <v>1</v>
      </c>
      <c r="J438" t="s">
        <v>831</v>
      </c>
      <c r="K438">
        <f>IF(AND(H438=OFICIAL!F67, I438=OFICIAL!G67), 5, 0)</f>
        <v>0</v>
      </c>
    </row>
    <row r="439" spans="1:12" x14ac:dyDescent="0.25">
      <c r="A439" t="s">
        <v>71</v>
      </c>
      <c r="B439" t="s">
        <v>95</v>
      </c>
      <c r="C439" t="s">
        <v>682</v>
      </c>
      <c r="D439" t="s">
        <v>55</v>
      </c>
      <c r="E439" t="s">
        <v>57</v>
      </c>
      <c r="F439" t="s">
        <v>58</v>
      </c>
      <c r="G439" t="s">
        <v>681</v>
      </c>
      <c r="H439">
        <v>2</v>
      </c>
      <c r="I439">
        <v>0</v>
      </c>
      <c r="J439" t="s">
        <v>835</v>
      </c>
      <c r="K439">
        <f>IF(AND(H439=OFICIAL!F68, I439=OFICIAL!G68), 5, 0)</f>
        <v>0</v>
      </c>
    </row>
    <row r="440" spans="1:12" x14ac:dyDescent="0.25">
      <c r="A440" t="s">
        <v>71</v>
      </c>
      <c r="B440" t="s">
        <v>95</v>
      </c>
      <c r="C440" t="s">
        <v>680</v>
      </c>
      <c r="D440" t="s">
        <v>55</v>
      </c>
      <c r="E440" t="s">
        <v>59</v>
      </c>
      <c r="F440" t="s">
        <v>56</v>
      </c>
      <c r="G440" t="s">
        <v>681</v>
      </c>
      <c r="H440">
        <v>0</v>
      </c>
      <c r="I440">
        <v>2</v>
      </c>
      <c r="J440" t="s">
        <v>835</v>
      </c>
      <c r="K440">
        <f>IF(AND(H440=OFICIAL!F69, I440=OFICIAL!G69), 5, 0)</f>
        <v>0</v>
      </c>
    </row>
    <row r="441" spans="1:12" x14ac:dyDescent="0.25">
      <c r="A441" t="s">
        <v>71</v>
      </c>
      <c r="B441" t="s">
        <v>95</v>
      </c>
      <c r="C441" t="s">
        <v>683</v>
      </c>
      <c r="D441" t="s">
        <v>52</v>
      </c>
      <c r="E441" t="s">
        <v>54</v>
      </c>
      <c r="F441" t="s">
        <v>60</v>
      </c>
      <c r="G441" t="s">
        <v>684</v>
      </c>
      <c r="H441">
        <v>1</v>
      </c>
      <c r="I441">
        <v>1</v>
      </c>
      <c r="J441" t="s">
        <v>834</v>
      </c>
      <c r="K441">
        <f>IF(AND(H441=OFICIAL!F70, I441=OFICIAL!G70), 5, 0)</f>
        <v>0</v>
      </c>
    </row>
    <row r="442" spans="1:12" x14ac:dyDescent="0.25">
      <c r="A442" t="s">
        <v>71</v>
      </c>
      <c r="B442" t="s">
        <v>95</v>
      </c>
      <c r="C442" t="s">
        <v>685</v>
      </c>
      <c r="D442" t="s">
        <v>52</v>
      </c>
      <c r="E442" t="s">
        <v>61</v>
      </c>
      <c r="F442" t="s">
        <v>53</v>
      </c>
      <c r="G442" t="s">
        <v>684</v>
      </c>
      <c r="H442">
        <v>1</v>
      </c>
      <c r="I442">
        <v>2</v>
      </c>
      <c r="J442" t="s">
        <v>834</v>
      </c>
      <c r="K442">
        <f>IF(AND(H442=OFICIAL!F71, I442=OFICIAL!G71), 5, 0)</f>
        <v>0</v>
      </c>
    </row>
    <row r="443" spans="1:12" x14ac:dyDescent="0.25">
      <c r="A443" t="s">
        <v>71</v>
      </c>
      <c r="B443" t="s">
        <v>95</v>
      </c>
      <c r="C443" t="s">
        <v>686</v>
      </c>
      <c r="D443" t="s">
        <v>47</v>
      </c>
      <c r="E443" t="s">
        <v>49</v>
      </c>
      <c r="F443" t="s">
        <v>50</v>
      </c>
      <c r="G443" t="s">
        <v>687</v>
      </c>
      <c r="H443">
        <v>1</v>
      </c>
      <c r="I443">
        <v>2</v>
      </c>
      <c r="J443" t="s">
        <v>833</v>
      </c>
      <c r="K443">
        <f>IF(AND(H443=OFICIAL!F72, I443=OFICIAL!G72), 5, 0)</f>
        <v>0</v>
      </c>
    </row>
    <row r="444" spans="1:12" x14ac:dyDescent="0.25">
      <c r="A444" t="s">
        <v>71</v>
      </c>
      <c r="B444" t="s">
        <v>95</v>
      </c>
      <c r="C444" s="4" t="s">
        <v>688</v>
      </c>
      <c r="D444" t="s">
        <v>47</v>
      </c>
      <c r="E444" t="s">
        <v>51</v>
      </c>
      <c r="F444" t="s">
        <v>48</v>
      </c>
      <c r="G444" t="s">
        <v>687</v>
      </c>
      <c r="H444">
        <v>1</v>
      </c>
      <c r="I444">
        <v>2</v>
      </c>
      <c r="J444" t="s">
        <v>833</v>
      </c>
      <c r="K444">
        <f>IF(AND(H444=OFICIAL!F73, I444=OFICIAL!G73), 5, 0)</f>
        <v>0</v>
      </c>
    </row>
    <row r="445" spans="1:12" x14ac:dyDescent="0.25">
      <c r="C445" s="4"/>
    </row>
    <row r="446" spans="1:12" ht="18" customHeight="1" thickBot="1" x14ac:dyDescent="0.3">
      <c r="A446" s="23" t="s">
        <v>72</v>
      </c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</row>
    <row r="447" spans="1:12" ht="15.75" thickBot="1" x14ac:dyDescent="0.3">
      <c r="A447" t="s">
        <v>73</v>
      </c>
      <c r="B447" t="s">
        <v>96</v>
      </c>
      <c r="C447" t="s">
        <v>554</v>
      </c>
      <c r="D447" t="s">
        <v>2</v>
      </c>
      <c r="E447" t="s">
        <v>3</v>
      </c>
      <c r="F447" t="s">
        <v>4</v>
      </c>
      <c r="G447" t="s">
        <v>555</v>
      </c>
      <c r="H447">
        <v>1</v>
      </c>
      <c r="I447">
        <v>0</v>
      </c>
      <c r="J447" t="s">
        <v>836</v>
      </c>
      <c r="K447">
        <f>IF(AND(H447=OFICIAL!F2,I447=OFICIAL!G2), 5, 0)</f>
        <v>0</v>
      </c>
      <c r="L447" s="6">
        <f>SUM(K447:K518)</f>
        <v>25</v>
      </c>
    </row>
    <row r="448" spans="1:12" x14ac:dyDescent="0.25">
      <c r="A448" t="s">
        <v>73</v>
      </c>
      <c r="B448" t="s">
        <v>96</v>
      </c>
      <c r="C448" t="s">
        <v>557</v>
      </c>
      <c r="D448" t="s">
        <v>2</v>
      </c>
      <c r="E448" t="s">
        <v>5</v>
      </c>
      <c r="F448" t="s">
        <v>6</v>
      </c>
      <c r="G448" t="s">
        <v>558</v>
      </c>
      <c r="H448">
        <v>1</v>
      </c>
      <c r="I448">
        <v>0</v>
      </c>
      <c r="J448" t="s">
        <v>836</v>
      </c>
      <c r="K448">
        <f>IF(AND(H448=OFICIAL!F3,I448=OFICIAL!G3), 5, 0)</f>
        <v>0</v>
      </c>
    </row>
    <row r="449" spans="1:11" x14ac:dyDescent="0.25">
      <c r="A449" t="s">
        <v>73</v>
      </c>
      <c r="B449" t="s">
        <v>96</v>
      </c>
      <c r="C449" t="s">
        <v>559</v>
      </c>
      <c r="D449" t="s">
        <v>7</v>
      </c>
      <c r="E449" t="s">
        <v>8</v>
      </c>
      <c r="F449" t="s">
        <v>9</v>
      </c>
      <c r="G449" t="s">
        <v>560</v>
      </c>
      <c r="H449">
        <v>1</v>
      </c>
      <c r="I449">
        <v>1</v>
      </c>
      <c r="J449" t="s">
        <v>837</v>
      </c>
      <c r="K449">
        <f>IF(AND(H449=OFICIAL!F4,I449=OFICIAL!G4), 5, 0)</f>
        <v>5</v>
      </c>
    </row>
    <row r="450" spans="1:11" x14ac:dyDescent="0.25">
      <c r="A450" t="s">
        <v>73</v>
      </c>
      <c r="B450" t="s">
        <v>96</v>
      </c>
      <c r="C450" t="s">
        <v>561</v>
      </c>
      <c r="D450" t="s">
        <v>10</v>
      </c>
      <c r="E450" t="s">
        <v>11</v>
      </c>
      <c r="F450" t="s">
        <v>12</v>
      </c>
      <c r="G450" t="s">
        <v>562</v>
      </c>
      <c r="H450">
        <v>0</v>
      </c>
      <c r="I450">
        <v>0</v>
      </c>
      <c r="J450" t="s">
        <v>838</v>
      </c>
      <c r="K450">
        <f>IF(AND(H450=OFICIAL!F5,I450=OFICIAL!G5), 5, 0)</f>
        <v>0</v>
      </c>
    </row>
    <row r="451" spans="1:11" x14ac:dyDescent="0.25">
      <c r="A451" t="s">
        <v>73</v>
      </c>
      <c r="B451" t="s">
        <v>96</v>
      </c>
      <c r="C451" t="s">
        <v>563</v>
      </c>
      <c r="D451" t="s">
        <v>7</v>
      </c>
      <c r="E451" t="s">
        <v>13</v>
      </c>
      <c r="F451" t="s">
        <v>14</v>
      </c>
      <c r="G451" t="s">
        <v>564</v>
      </c>
      <c r="H451">
        <v>1</v>
      </c>
      <c r="I451">
        <v>2</v>
      </c>
      <c r="J451" t="s">
        <v>837</v>
      </c>
      <c r="K451">
        <f>IF(AND(H451=OFICIAL!F6,I451=OFICIAL!G6), 5, 0)</f>
        <v>0</v>
      </c>
    </row>
    <row r="452" spans="1:11" x14ac:dyDescent="0.25">
      <c r="A452" t="s">
        <v>73</v>
      </c>
      <c r="B452" t="s">
        <v>96</v>
      </c>
      <c r="C452" t="s">
        <v>565</v>
      </c>
      <c r="D452" t="s">
        <v>15</v>
      </c>
      <c r="E452" t="s">
        <v>16</v>
      </c>
      <c r="F452" t="s">
        <v>17</v>
      </c>
      <c r="G452" t="s">
        <v>566</v>
      </c>
      <c r="H452">
        <v>1</v>
      </c>
      <c r="I452">
        <v>0</v>
      </c>
      <c r="J452" t="s">
        <v>839</v>
      </c>
      <c r="K452">
        <f>IF(AND(H452=OFICIAL!F7,I452=OFICIAL!G7), 5, 0)</f>
        <v>0</v>
      </c>
    </row>
    <row r="453" spans="1:11" x14ac:dyDescent="0.25">
      <c r="A453" t="s">
        <v>73</v>
      </c>
      <c r="B453" t="s">
        <v>96</v>
      </c>
      <c r="C453" t="s">
        <v>567</v>
      </c>
      <c r="D453" t="s">
        <v>15</v>
      </c>
      <c r="E453" t="s">
        <v>18</v>
      </c>
      <c r="F453" t="s">
        <v>19</v>
      </c>
      <c r="G453" t="s">
        <v>568</v>
      </c>
      <c r="H453">
        <v>0</v>
      </c>
      <c r="I453">
        <v>2</v>
      </c>
      <c r="J453" t="s">
        <v>839</v>
      </c>
      <c r="K453">
        <f>IF(AND(H453=OFICIAL!F8,I453=OFICIAL!G8), 5, 0)</f>
        <v>0</v>
      </c>
    </row>
    <row r="454" spans="1:11" x14ac:dyDescent="0.25">
      <c r="A454" t="s">
        <v>73</v>
      </c>
      <c r="B454" t="s">
        <v>96</v>
      </c>
      <c r="C454" t="s">
        <v>569</v>
      </c>
      <c r="D454" t="s">
        <v>10</v>
      </c>
      <c r="E454" t="s">
        <v>20</v>
      </c>
      <c r="F454" t="s">
        <v>21</v>
      </c>
      <c r="G454" t="s">
        <v>570</v>
      </c>
      <c r="H454">
        <v>0</v>
      </c>
      <c r="I454">
        <v>2</v>
      </c>
      <c r="J454" t="s">
        <v>838</v>
      </c>
      <c r="K454">
        <f>IF(AND(H454=OFICIAL!F9,I454=OFICIAL!G9), 5, 0)</f>
        <v>0</v>
      </c>
    </row>
    <row r="455" spans="1:11" x14ac:dyDescent="0.25">
      <c r="A455" t="s">
        <v>73</v>
      </c>
      <c r="B455" t="s">
        <v>96</v>
      </c>
      <c r="C455" t="s">
        <v>571</v>
      </c>
      <c r="D455" t="s">
        <v>22</v>
      </c>
      <c r="E455" t="s">
        <v>23</v>
      </c>
      <c r="F455" t="s">
        <v>24</v>
      </c>
      <c r="G455" t="s">
        <v>572</v>
      </c>
      <c r="H455">
        <v>4</v>
      </c>
      <c r="I455">
        <v>0</v>
      </c>
      <c r="J455" t="s">
        <v>840</v>
      </c>
      <c r="K455">
        <f>IF(AND(H455=OFICIAL!F10,I455=OFICIAL!G10), 5, 0)</f>
        <v>0</v>
      </c>
    </row>
    <row r="456" spans="1:11" x14ac:dyDescent="0.25">
      <c r="A456" t="s">
        <v>73</v>
      </c>
      <c r="B456" t="s">
        <v>96</v>
      </c>
      <c r="C456" t="s">
        <v>573</v>
      </c>
      <c r="D456" t="s">
        <v>25</v>
      </c>
      <c r="E456" t="s">
        <v>26</v>
      </c>
      <c r="F456" t="s">
        <v>27</v>
      </c>
      <c r="G456" t="s">
        <v>574</v>
      </c>
      <c r="H456">
        <v>2</v>
      </c>
      <c r="I456">
        <v>1</v>
      </c>
      <c r="J456" t="s">
        <v>841</v>
      </c>
      <c r="K456">
        <f>IF(AND(H456=OFICIAL!F11,I456=OFICIAL!G11), 5, 0)</f>
        <v>0</v>
      </c>
    </row>
    <row r="457" spans="1:11" x14ac:dyDescent="0.25">
      <c r="A457" t="s">
        <v>73</v>
      </c>
      <c r="B457" t="s">
        <v>96</v>
      </c>
      <c r="C457" t="s">
        <v>575</v>
      </c>
      <c r="D457" t="s">
        <v>22</v>
      </c>
      <c r="E457" t="s">
        <v>28</v>
      </c>
      <c r="F457" t="s">
        <v>29</v>
      </c>
      <c r="G457" t="s">
        <v>576</v>
      </c>
      <c r="H457">
        <v>1</v>
      </c>
      <c r="I457">
        <v>2</v>
      </c>
      <c r="J457" t="s">
        <v>840</v>
      </c>
      <c r="K457">
        <f>IF(AND(H457=OFICIAL!F12,I457=OFICIAL!G12), 5, 0)</f>
        <v>0</v>
      </c>
    </row>
    <row r="458" spans="1:11" x14ac:dyDescent="0.25">
      <c r="A458" t="s">
        <v>73</v>
      </c>
      <c r="B458" t="s">
        <v>96</v>
      </c>
      <c r="C458" t="s">
        <v>577</v>
      </c>
      <c r="D458" t="s">
        <v>25</v>
      </c>
      <c r="E458" t="s">
        <v>30</v>
      </c>
      <c r="F458" t="s">
        <v>31</v>
      </c>
      <c r="G458" t="s">
        <v>578</v>
      </c>
      <c r="H458">
        <v>1</v>
      </c>
      <c r="I458">
        <v>0</v>
      </c>
      <c r="J458" t="s">
        <v>841</v>
      </c>
      <c r="K458">
        <f>IF(AND(H458=OFICIAL!F13,I458=OFICIAL!G13), 5, 0)</f>
        <v>0</v>
      </c>
    </row>
    <row r="459" spans="1:11" x14ac:dyDescent="0.25">
      <c r="A459" t="s">
        <v>73</v>
      </c>
      <c r="B459" t="s">
        <v>96</v>
      </c>
      <c r="C459" t="s">
        <v>579</v>
      </c>
      <c r="D459" t="s">
        <v>32</v>
      </c>
      <c r="E459" t="s">
        <v>33</v>
      </c>
      <c r="F459" t="s">
        <v>34</v>
      </c>
      <c r="G459" t="s">
        <v>580</v>
      </c>
      <c r="H459">
        <v>4</v>
      </c>
      <c r="I459">
        <v>0</v>
      </c>
      <c r="J459" t="s">
        <v>842</v>
      </c>
      <c r="K459">
        <f>IF(AND(H459=OFICIAL!F14,I459=OFICIAL!G14), 5, 0)</f>
        <v>0</v>
      </c>
    </row>
    <row r="460" spans="1:11" x14ac:dyDescent="0.25">
      <c r="A460" t="s">
        <v>73</v>
      </c>
      <c r="B460" t="s">
        <v>96</v>
      </c>
      <c r="C460" t="s">
        <v>581</v>
      </c>
      <c r="D460" t="s">
        <v>35</v>
      </c>
      <c r="E460" t="s">
        <v>36</v>
      </c>
      <c r="F460" t="s">
        <v>37</v>
      </c>
      <c r="G460" t="s">
        <v>582</v>
      </c>
      <c r="H460">
        <v>1</v>
      </c>
      <c r="I460">
        <v>0</v>
      </c>
      <c r="J460" t="s">
        <v>843</v>
      </c>
      <c r="K460">
        <f>IF(AND(H460=OFICIAL!F15,I460=OFICIAL!G15), 5, 0)</f>
        <v>0</v>
      </c>
    </row>
    <row r="461" spans="1:11" x14ac:dyDescent="0.25">
      <c r="A461" t="s">
        <v>73</v>
      </c>
      <c r="B461" t="s">
        <v>96</v>
      </c>
      <c r="C461" t="s">
        <v>583</v>
      </c>
      <c r="D461" t="s">
        <v>32</v>
      </c>
      <c r="E461" t="s">
        <v>38</v>
      </c>
      <c r="F461" t="s">
        <v>39</v>
      </c>
      <c r="G461" t="s">
        <v>584</v>
      </c>
      <c r="H461">
        <v>0</v>
      </c>
      <c r="I461">
        <v>2</v>
      </c>
      <c r="J461" t="s">
        <v>842</v>
      </c>
      <c r="K461">
        <f>IF(AND(H461=OFICIAL!F16,I461=OFICIAL!G16), 5, 0)</f>
        <v>0</v>
      </c>
    </row>
    <row r="462" spans="1:11" x14ac:dyDescent="0.25">
      <c r="A462" t="s">
        <v>73</v>
      </c>
      <c r="B462" t="s">
        <v>96</v>
      </c>
      <c r="C462" t="s">
        <v>585</v>
      </c>
      <c r="D462" t="s">
        <v>35</v>
      </c>
      <c r="E462" t="s">
        <v>40</v>
      </c>
      <c r="F462" t="s">
        <v>41</v>
      </c>
      <c r="G462" t="s">
        <v>586</v>
      </c>
      <c r="H462">
        <v>1</v>
      </c>
      <c r="I462">
        <v>0</v>
      </c>
      <c r="J462" t="s">
        <v>843</v>
      </c>
      <c r="K462">
        <f>IF(AND(H462=OFICIAL!F17,I462=OFICIAL!G17), 5, 0)</f>
        <v>0</v>
      </c>
    </row>
    <row r="463" spans="1:11" x14ac:dyDescent="0.25">
      <c r="A463" t="s">
        <v>73</v>
      </c>
      <c r="B463" t="s">
        <v>96</v>
      </c>
      <c r="C463" t="s">
        <v>587</v>
      </c>
      <c r="D463" t="s">
        <v>42</v>
      </c>
      <c r="E463" t="s">
        <v>43</v>
      </c>
      <c r="F463" t="s">
        <v>44</v>
      </c>
      <c r="G463" t="s">
        <v>588</v>
      </c>
      <c r="H463">
        <v>2</v>
      </c>
      <c r="I463">
        <v>1</v>
      </c>
      <c r="J463" t="s">
        <v>844</v>
      </c>
      <c r="K463">
        <f>IF(AND(H463=OFICIAL!F18,I463=OFICIAL!G18), 5, 0)</f>
        <v>0</v>
      </c>
    </row>
    <row r="464" spans="1:11" x14ac:dyDescent="0.25">
      <c r="A464" t="s">
        <v>73</v>
      </c>
      <c r="B464" t="s">
        <v>96</v>
      </c>
      <c r="C464" t="s">
        <v>589</v>
      </c>
      <c r="D464" t="s">
        <v>42</v>
      </c>
      <c r="E464" t="s">
        <v>45</v>
      </c>
      <c r="F464" t="s">
        <v>46</v>
      </c>
      <c r="G464" t="s">
        <v>590</v>
      </c>
      <c r="H464">
        <v>1</v>
      </c>
      <c r="I464">
        <v>1</v>
      </c>
      <c r="J464" t="s">
        <v>844</v>
      </c>
      <c r="K464">
        <f>IF(AND(H464=OFICIAL!F19,I464=OFICIAL!G19), 5, 0)</f>
        <v>0</v>
      </c>
    </row>
    <row r="465" spans="1:11" x14ac:dyDescent="0.25">
      <c r="A465" t="s">
        <v>73</v>
      </c>
      <c r="B465" t="s">
        <v>96</v>
      </c>
      <c r="C465" t="s">
        <v>591</v>
      </c>
      <c r="D465" t="s">
        <v>47</v>
      </c>
      <c r="E465" t="s">
        <v>48</v>
      </c>
      <c r="F465" t="s">
        <v>49</v>
      </c>
      <c r="G465" t="s">
        <v>592</v>
      </c>
      <c r="H465">
        <v>1</v>
      </c>
      <c r="I465">
        <v>0</v>
      </c>
      <c r="J465" t="s">
        <v>845</v>
      </c>
      <c r="K465">
        <f>IF(AND(H465=OFICIAL!F20,I465=OFICIAL!G20), 5, 0)</f>
        <v>0</v>
      </c>
    </row>
    <row r="466" spans="1:11" x14ac:dyDescent="0.25">
      <c r="A466" t="s">
        <v>73</v>
      </c>
      <c r="B466" t="s">
        <v>96</v>
      </c>
      <c r="C466" t="s">
        <v>593</v>
      </c>
      <c r="D466" t="s">
        <v>47</v>
      </c>
      <c r="E466" t="s">
        <v>50</v>
      </c>
      <c r="F466" t="s">
        <v>51</v>
      </c>
      <c r="G466" t="s">
        <v>594</v>
      </c>
      <c r="H466">
        <v>1</v>
      </c>
      <c r="I466">
        <v>0</v>
      </c>
      <c r="J466" t="s">
        <v>845</v>
      </c>
      <c r="K466">
        <f>IF(AND(H466=OFICIAL!F21,I466=OFICIAL!G21), 5, 0)</f>
        <v>0</v>
      </c>
    </row>
    <row r="467" spans="1:11" x14ac:dyDescent="0.25">
      <c r="A467" t="s">
        <v>73</v>
      </c>
      <c r="B467" t="s">
        <v>96</v>
      </c>
      <c r="C467" t="s">
        <v>595</v>
      </c>
      <c r="D467" t="s">
        <v>52</v>
      </c>
      <c r="E467" t="s">
        <v>53</v>
      </c>
      <c r="F467" t="s">
        <v>54</v>
      </c>
      <c r="G467" t="s">
        <v>596</v>
      </c>
      <c r="H467">
        <v>3</v>
      </c>
      <c r="I467">
        <v>1</v>
      </c>
      <c r="J467" t="s">
        <v>846</v>
      </c>
      <c r="K467">
        <f>IF(AND(H467=OFICIAL!F22,I467=OFICIAL!G22), 5, 0)</f>
        <v>0</v>
      </c>
    </row>
    <row r="468" spans="1:11" x14ac:dyDescent="0.25">
      <c r="A468" t="s">
        <v>73</v>
      </c>
      <c r="B468" t="s">
        <v>96</v>
      </c>
      <c r="C468" t="s">
        <v>597</v>
      </c>
      <c r="D468" t="s">
        <v>55</v>
      </c>
      <c r="E468" t="s">
        <v>56</v>
      </c>
      <c r="F468" t="s">
        <v>57</v>
      </c>
      <c r="G468" t="s">
        <v>598</v>
      </c>
      <c r="H468">
        <v>1</v>
      </c>
      <c r="I468">
        <v>0</v>
      </c>
      <c r="J468" t="s">
        <v>847</v>
      </c>
      <c r="K468">
        <f>IF(AND(H468=OFICIAL!F23,I468=OFICIAL!G23), 5, 0)</f>
        <v>0</v>
      </c>
    </row>
    <row r="469" spans="1:11" x14ac:dyDescent="0.25">
      <c r="A469" t="s">
        <v>73</v>
      </c>
      <c r="B469" t="s">
        <v>96</v>
      </c>
      <c r="C469" t="s">
        <v>599</v>
      </c>
      <c r="D469" t="s">
        <v>55</v>
      </c>
      <c r="E469" t="s">
        <v>58</v>
      </c>
      <c r="F469" t="s">
        <v>59</v>
      </c>
      <c r="G469" t="s">
        <v>600</v>
      </c>
      <c r="H469">
        <v>1</v>
      </c>
      <c r="I469">
        <v>0</v>
      </c>
      <c r="J469" t="s">
        <v>847</v>
      </c>
      <c r="K469">
        <f>IF(AND(H469=OFICIAL!F24,I469=OFICIAL!G24), 5, 0)</f>
        <v>5</v>
      </c>
    </row>
    <row r="470" spans="1:11" x14ac:dyDescent="0.25">
      <c r="A470" t="s">
        <v>73</v>
      </c>
      <c r="B470" t="s">
        <v>96</v>
      </c>
      <c r="C470" t="s">
        <v>601</v>
      </c>
      <c r="D470" t="s">
        <v>52</v>
      </c>
      <c r="E470" t="s">
        <v>60</v>
      </c>
      <c r="F470" t="s">
        <v>61</v>
      </c>
      <c r="G470" t="s">
        <v>602</v>
      </c>
      <c r="H470">
        <v>1</v>
      </c>
      <c r="I470">
        <v>2</v>
      </c>
      <c r="J470" t="s">
        <v>846</v>
      </c>
      <c r="K470">
        <f>IF(AND(H470=OFICIAL!F25,I470=OFICIAL!G25), 5, 0)</f>
        <v>0</v>
      </c>
    </row>
    <row r="471" spans="1:11" x14ac:dyDescent="0.25">
      <c r="A471" t="s">
        <v>73</v>
      </c>
      <c r="B471" t="s">
        <v>96</v>
      </c>
      <c r="C471" t="s">
        <v>603</v>
      </c>
      <c r="D471" t="s">
        <v>2</v>
      </c>
      <c r="E471" t="s">
        <v>4</v>
      </c>
      <c r="F471" t="s">
        <v>6</v>
      </c>
      <c r="G471" t="s">
        <v>604</v>
      </c>
      <c r="H471">
        <v>0</v>
      </c>
      <c r="I471">
        <v>1</v>
      </c>
      <c r="J471" t="s">
        <v>836</v>
      </c>
      <c r="K471">
        <f>IF(AND(H471=OFICIAL!F26,I471=OFICIAL!G26), 5, 0)</f>
        <v>0</v>
      </c>
    </row>
    <row r="472" spans="1:11" x14ac:dyDescent="0.25">
      <c r="A472" t="s">
        <v>73</v>
      </c>
      <c r="B472" t="s">
        <v>96</v>
      </c>
      <c r="C472" t="s">
        <v>605</v>
      </c>
      <c r="D472" t="s">
        <v>7</v>
      </c>
      <c r="E472" t="s">
        <v>9</v>
      </c>
      <c r="F472" t="s">
        <v>14</v>
      </c>
      <c r="G472" t="s">
        <v>606</v>
      </c>
      <c r="H472">
        <v>0</v>
      </c>
      <c r="I472">
        <v>2</v>
      </c>
      <c r="J472" t="s">
        <v>837</v>
      </c>
      <c r="K472">
        <f>IF(AND(H472=OFICIAL!F27,I472=OFICIAL!G27), 5, 0)</f>
        <v>0</v>
      </c>
    </row>
    <row r="473" spans="1:11" x14ac:dyDescent="0.25">
      <c r="A473" t="s">
        <v>73</v>
      </c>
      <c r="B473" t="s">
        <v>96</v>
      </c>
      <c r="C473" t="s">
        <v>607</v>
      </c>
      <c r="D473" t="s">
        <v>7</v>
      </c>
      <c r="E473" t="s">
        <v>8</v>
      </c>
      <c r="F473" t="s">
        <v>13</v>
      </c>
      <c r="G473" t="s">
        <v>608</v>
      </c>
      <c r="H473">
        <v>1</v>
      </c>
      <c r="I473">
        <v>0</v>
      </c>
      <c r="J473" t="s">
        <v>837</v>
      </c>
      <c r="K473">
        <f>IF(AND(H473=OFICIAL!F28,I473=OFICIAL!G28), 5, 0)</f>
        <v>0</v>
      </c>
    </row>
    <row r="474" spans="1:11" x14ac:dyDescent="0.25">
      <c r="A474" t="s">
        <v>73</v>
      </c>
      <c r="B474" t="s">
        <v>96</v>
      </c>
      <c r="C474" t="s">
        <v>609</v>
      </c>
      <c r="D474" t="s">
        <v>2</v>
      </c>
      <c r="E474" t="s">
        <v>3</v>
      </c>
      <c r="F474" t="s">
        <v>5</v>
      </c>
      <c r="G474" t="s">
        <v>610</v>
      </c>
      <c r="H474">
        <v>2</v>
      </c>
      <c r="I474">
        <v>0</v>
      </c>
      <c r="J474" t="s">
        <v>836</v>
      </c>
      <c r="K474">
        <f>IF(AND(H474=OFICIAL!F29,I474=OFICIAL!G29), 5, 0)</f>
        <v>0</v>
      </c>
    </row>
    <row r="475" spans="1:11" x14ac:dyDescent="0.25">
      <c r="A475" t="s">
        <v>73</v>
      </c>
      <c r="B475" t="s">
        <v>96</v>
      </c>
      <c r="C475" t="s">
        <v>611</v>
      </c>
      <c r="D475" t="s">
        <v>10</v>
      </c>
      <c r="E475" t="s">
        <v>11</v>
      </c>
      <c r="F475" t="s">
        <v>20</v>
      </c>
      <c r="G475" t="s">
        <v>612</v>
      </c>
      <c r="H475">
        <v>2</v>
      </c>
      <c r="I475">
        <v>0</v>
      </c>
      <c r="J475" t="s">
        <v>838</v>
      </c>
      <c r="K475">
        <f>IF(AND(H475=OFICIAL!F30,I475=OFICIAL!G30), 5, 0)</f>
        <v>5</v>
      </c>
    </row>
    <row r="476" spans="1:11" x14ac:dyDescent="0.25">
      <c r="A476" t="s">
        <v>73</v>
      </c>
      <c r="B476" t="s">
        <v>96</v>
      </c>
      <c r="C476" t="s">
        <v>613</v>
      </c>
      <c r="D476" t="s">
        <v>15</v>
      </c>
      <c r="E476" t="s">
        <v>17</v>
      </c>
      <c r="F476" t="s">
        <v>19</v>
      </c>
      <c r="G476" t="s">
        <v>614</v>
      </c>
      <c r="H476">
        <v>1</v>
      </c>
      <c r="I476">
        <v>0</v>
      </c>
      <c r="J476" t="s">
        <v>839</v>
      </c>
      <c r="K476">
        <f>IF(AND(H476=OFICIAL!F31,I476=OFICIAL!G31), 5, 0)</f>
        <v>5</v>
      </c>
    </row>
    <row r="477" spans="1:11" x14ac:dyDescent="0.25">
      <c r="A477" t="s">
        <v>73</v>
      </c>
      <c r="B477" t="s">
        <v>96</v>
      </c>
      <c r="C477" t="s">
        <v>615</v>
      </c>
      <c r="D477" t="s">
        <v>15</v>
      </c>
      <c r="E477" t="s">
        <v>16</v>
      </c>
      <c r="F477" t="s">
        <v>18</v>
      </c>
      <c r="G477" t="s">
        <v>616</v>
      </c>
      <c r="H477">
        <v>3</v>
      </c>
      <c r="I477">
        <v>0</v>
      </c>
      <c r="J477" t="s">
        <v>839</v>
      </c>
      <c r="K477">
        <f>IF(AND(H477=OFICIAL!F32,I477=OFICIAL!G32), 5, 0)</f>
        <v>5</v>
      </c>
    </row>
    <row r="478" spans="1:11" x14ac:dyDescent="0.25">
      <c r="A478" t="s">
        <v>73</v>
      </c>
      <c r="B478" t="s">
        <v>96</v>
      </c>
      <c r="C478" t="s">
        <v>617</v>
      </c>
      <c r="D478" t="s">
        <v>10</v>
      </c>
      <c r="E478" t="s">
        <v>12</v>
      </c>
      <c r="F478" t="s">
        <v>21</v>
      </c>
      <c r="G478" t="s">
        <v>618</v>
      </c>
      <c r="H478">
        <v>1</v>
      </c>
      <c r="I478">
        <v>1</v>
      </c>
      <c r="J478" t="s">
        <v>838</v>
      </c>
      <c r="K478">
        <f>IF(AND(H478=OFICIAL!F33,I478=OFICIAL!G33), 5, 0)</f>
        <v>0</v>
      </c>
    </row>
    <row r="479" spans="1:11" x14ac:dyDescent="0.25">
      <c r="A479" t="s">
        <v>73</v>
      </c>
      <c r="B479" t="s">
        <v>96</v>
      </c>
      <c r="C479" t="s">
        <v>619</v>
      </c>
      <c r="D479" t="s">
        <v>25</v>
      </c>
      <c r="E479" t="s">
        <v>26</v>
      </c>
      <c r="F479" t="s">
        <v>30</v>
      </c>
      <c r="G479" t="s">
        <v>620</v>
      </c>
      <c r="H479">
        <v>2</v>
      </c>
      <c r="I479">
        <v>0</v>
      </c>
      <c r="J479" t="s">
        <v>841</v>
      </c>
      <c r="K479">
        <f>IF(AND(H479=OFICIAL!F34,I479=OFICIAL!G34), 5, 0)</f>
        <v>0</v>
      </c>
    </row>
    <row r="480" spans="1:11" x14ac:dyDescent="0.25">
      <c r="A480" t="s">
        <v>73</v>
      </c>
      <c r="B480" t="s">
        <v>96</v>
      </c>
      <c r="C480" t="s">
        <v>623</v>
      </c>
      <c r="D480" t="s">
        <v>22</v>
      </c>
      <c r="E480" t="s">
        <v>23</v>
      </c>
      <c r="F480" t="s">
        <v>28</v>
      </c>
      <c r="G480" t="s">
        <v>624</v>
      </c>
      <c r="H480">
        <v>2</v>
      </c>
      <c r="I480">
        <v>0</v>
      </c>
      <c r="J480" t="s">
        <v>840</v>
      </c>
      <c r="K480">
        <f>IF(AND(H480=OFICIAL!F35,I480=OFICIAL!G35), 5, 0)</f>
        <v>0</v>
      </c>
    </row>
    <row r="481" spans="1:11" x14ac:dyDescent="0.25">
      <c r="A481" t="s">
        <v>73</v>
      </c>
      <c r="B481" t="s">
        <v>96</v>
      </c>
      <c r="C481" t="s">
        <v>625</v>
      </c>
      <c r="D481" t="s">
        <v>22</v>
      </c>
      <c r="E481" t="s">
        <v>24</v>
      </c>
      <c r="F481" t="s">
        <v>29</v>
      </c>
      <c r="G481" t="s">
        <v>626</v>
      </c>
      <c r="H481">
        <v>0</v>
      </c>
      <c r="I481">
        <v>2</v>
      </c>
      <c r="J481" t="s">
        <v>840</v>
      </c>
      <c r="K481">
        <f>IF(AND(H481=OFICIAL!F36,I481=OFICIAL!G36), 5, 0)</f>
        <v>0</v>
      </c>
    </row>
    <row r="482" spans="1:11" x14ac:dyDescent="0.25">
      <c r="A482" t="s">
        <v>73</v>
      </c>
      <c r="B482" t="s">
        <v>96</v>
      </c>
      <c r="C482" t="s">
        <v>627</v>
      </c>
      <c r="D482" t="s">
        <v>25</v>
      </c>
      <c r="E482" t="s">
        <v>27</v>
      </c>
      <c r="F482" t="s">
        <v>31</v>
      </c>
      <c r="G482" t="s">
        <v>628</v>
      </c>
      <c r="H482">
        <v>1</v>
      </c>
      <c r="I482">
        <v>0</v>
      </c>
      <c r="J482" t="s">
        <v>841</v>
      </c>
      <c r="K482">
        <f>IF(AND(H482=OFICIAL!F37,I482=OFICIAL!G37), 5, 0)</f>
        <v>0</v>
      </c>
    </row>
    <row r="483" spans="1:11" x14ac:dyDescent="0.25">
      <c r="A483" t="s">
        <v>73</v>
      </c>
      <c r="B483" t="s">
        <v>96</v>
      </c>
      <c r="C483" t="s">
        <v>629</v>
      </c>
      <c r="D483" t="s">
        <v>32</v>
      </c>
      <c r="E483" t="s">
        <v>33</v>
      </c>
      <c r="F483" t="s">
        <v>38</v>
      </c>
      <c r="G483" t="s">
        <v>630</v>
      </c>
      <c r="H483">
        <v>3</v>
      </c>
      <c r="I483">
        <v>0</v>
      </c>
      <c r="J483" t="s">
        <v>842</v>
      </c>
      <c r="K483">
        <f>IF(AND(H483=OFICIAL!F38,I483=OFICIAL!G38), 5, 0)</f>
        <v>0</v>
      </c>
    </row>
    <row r="484" spans="1:11" x14ac:dyDescent="0.25">
      <c r="A484" t="s">
        <v>73</v>
      </c>
      <c r="B484" t="s">
        <v>96</v>
      </c>
      <c r="C484" t="s">
        <v>631</v>
      </c>
      <c r="D484" t="s">
        <v>35</v>
      </c>
      <c r="E484" t="s">
        <v>36</v>
      </c>
      <c r="F484" t="s">
        <v>40</v>
      </c>
      <c r="G484" t="s">
        <v>632</v>
      </c>
      <c r="H484">
        <v>2</v>
      </c>
      <c r="I484">
        <v>0</v>
      </c>
      <c r="J484" t="s">
        <v>843</v>
      </c>
      <c r="K484">
        <f>IF(AND(H484=OFICIAL!F39,I484=OFICIAL!G39), 5, 0)</f>
        <v>0</v>
      </c>
    </row>
    <row r="485" spans="1:11" x14ac:dyDescent="0.25">
      <c r="A485" t="s">
        <v>73</v>
      </c>
      <c r="B485" t="s">
        <v>96</v>
      </c>
      <c r="C485" s="4" t="s">
        <v>633</v>
      </c>
      <c r="D485" t="s">
        <v>32</v>
      </c>
      <c r="E485" t="s">
        <v>34</v>
      </c>
      <c r="F485" t="s">
        <v>39</v>
      </c>
      <c r="G485" t="s">
        <v>634</v>
      </c>
      <c r="H485">
        <v>0</v>
      </c>
      <c r="I485">
        <v>1</v>
      </c>
      <c r="J485" t="s">
        <v>842</v>
      </c>
      <c r="K485">
        <f>IF(AND(H485=OFICIAL!F40,I485=OFICIAL!G40), 5, 0)</f>
        <v>0</v>
      </c>
    </row>
    <row r="486" spans="1:11" x14ac:dyDescent="0.25">
      <c r="A486" t="s">
        <v>73</v>
      </c>
      <c r="B486" t="s">
        <v>96</v>
      </c>
      <c r="C486" t="s">
        <v>635</v>
      </c>
      <c r="D486" t="s">
        <v>35</v>
      </c>
      <c r="E486" t="s">
        <v>37</v>
      </c>
      <c r="F486" t="s">
        <v>41</v>
      </c>
      <c r="G486" t="s">
        <v>636</v>
      </c>
      <c r="H486">
        <v>2</v>
      </c>
      <c r="I486">
        <v>1</v>
      </c>
      <c r="J486" t="s">
        <v>843</v>
      </c>
      <c r="K486">
        <f>IF(AND(H486=OFICIAL!F41,I486=OFICIAL!G41), 5, 0)</f>
        <v>0</v>
      </c>
    </row>
    <row r="487" spans="1:11" x14ac:dyDescent="0.25">
      <c r="A487" t="s">
        <v>73</v>
      </c>
      <c r="B487" t="s">
        <v>96</v>
      </c>
      <c r="C487" s="4" t="s">
        <v>637</v>
      </c>
      <c r="D487" t="s">
        <v>47</v>
      </c>
      <c r="E487" t="s">
        <v>48</v>
      </c>
      <c r="F487" t="s">
        <v>50</v>
      </c>
      <c r="G487" t="s">
        <v>638</v>
      </c>
      <c r="H487">
        <v>1</v>
      </c>
      <c r="I487">
        <v>1</v>
      </c>
      <c r="J487" t="s">
        <v>845</v>
      </c>
      <c r="K487">
        <f>IF(AND(H487=OFICIAL!F42,I487=OFICIAL!G42), 5, 0)</f>
        <v>0</v>
      </c>
    </row>
    <row r="488" spans="1:11" x14ac:dyDescent="0.25">
      <c r="A488" t="s">
        <v>73</v>
      </c>
      <c r="B488" t="s">
        <v>96</v>
      </c>
      <c r="C488" t="s">
        <v>639</v>
      </c>
      <c r="D488" t="s">
        <v>42</v>
      </c>
      <c r="E488" t="s">
        <v>43</v>
      </c>
      <c r="F488" t="s">
        <v>45</v>
      </c>
      <c r="G488" t="s">
        <v>640</v>
      </c>
      <c r="H488">
        <v>2</v>
      </c>
      <c r="I488">
        <v>0</v>
      </c>
      <c r="J488" t="s">
        <v>844</v>
      </c>
      <c r="K488">
        <f>IF(AND(H488=OFICIAL!F43,I488=OFICIAL!G43), 5, 0)</f>
        <v>0</v>
      </c>
    </row>
    <row r="489" spans="1:11" x14ac:dyDescent="0.25">
      <c r="A489" t="s">
        <v>73</v>
      </c>
      <c r="B489" t="s">
        <v>96</v>
      </c>
      <c r="C489" t="s">
        <v>641</v>
      </c>
      <c r="D489" t="s">
        <v>42</v>
      </c>
      <c r="E489" t="s">
        <v>44</v>
      </c>
      <c r="F489" t="s">
        <v>46</v>
      </c>
      <c r="G489" t="s">
        <v>642</v>
      </c>
      <c r="H489">
        <v>2</v>
      </c>
      <c r="I489">
        <v>2</v>
      </c>
      <c r="J489" t="s">
        <v>844</v>
      </c>
      <c r="K489">
        <f>IF(AND(H489=OFICIAL!F44,I489=OFICIAL!G44), 5, 0)</f>
        <v>0</v>
      </c>
    </row>
    <row r="490" spans="1:11" x14ac:dyDescent="0.25">
      <c r="A490" t="s">
        <v>73</v>
      </c>
      <c r="B490" t="s">
        <v>96</v>
      </c>
      <c r="C490" t="s">
        <v>643</v>
      </c>
      <c r="D490" t="s">
        <v>47</v>
      </c>
      <c r="E490" t="s">
        <v>49</v>
      </c>
      <c r="F490" t="s">
        <v>51</v>
      </c>
      <c r="G490" t="s">
        <v>644</v>
      </c>
      <c r="H490">
        <v>2</v>
      </c>
      <c r="I490">
        <v>0</v>
      </c>
      <c r="J490" t="s">
        <v>845</v>
      </c>
      <c r="K490">
        <f>IF(AND(H490=OFICIAL!F45,I490=OFICIAL!G45), 5, 0)</f>
        <v>0</v>
      </c>
    </row>
    <row r="491" spans="1:11" x14ac:dyDescent="0.25">
      <c r="A491" t="s">
        <v>73</v>
      </c>
      <c r="B491" t="s">
        <v>96</v>
      </c>
      <c r="C491" t="s">
        <v>645</v>
      </c>
      <c r="D491" t="s">
        <v>52</v>
      </c>
      <c r="E491" t="s">
        <v>53</v>
      </c>
      <c r="F491" t="s">
        <v>60</v>
      </c>
      <c r="G491" t="s">
        <v>646</v>
      </c>
      <c r="H491">
        <v>2</v>
      </c>
      <c r="I491">
        <v>0</v>
      </c>
      <c r="J491" t="s">
        <v>846</v>
      </c>
      <c r="K491">
        <f>IF(AND(H491=OFICIAL!F46,I491=OFICIAL!G46), 5, 0)</f>
        <v>0</v>
      </c>
    </row>
    <row r="492" spans="1:11" x14ac:dyDescent="0.25">
      <c r="A492" t="s">
        <v>73</v>
      </c>
      <c r="B492" t="s">
        <v>96</v>
      </c>
      <c r="C492" t="s">
        <v>647</v>
      </c>
      <c r="D492" t="s">
        <v>55</v>
      </c>
      <c r="E492" t="s">
        <v>56</v>
      </c>
      <c r="F492" t="s">
        <v>58</v>
      </c>
      <c r="G492" t="s">
        <v>648</v>
      </c>
      <c r="H492">
        <v>2</v>
      </c>
      <c r="I492">
        <v>0</v>
      </c>
      <c r="J492" t="s">
        <v>847</v>
      </c>
      <c r="K492">
        <f>IF(AND(H492=OFICIAL!F47,I492=OFICIAL!G47), 5, 0)</f>
        <v>0</v>
      </c>
    </row>
    <row r="493" spans="1:11" x14ac:dyDescent="0.25">
      <c r="A493" t="s">
        <v>73</v>
      </c>
      <c r="B493" t="s">
        <v>96</v>
      </c>
      <c r="C493" t="s">
        <v>649</v>
      </c>
      <c r="D493" t="s">
        <v>55</v>
      </c>
      <c r="E493" t="s">
        <v>57</v>
      </c>
      <c r="F493" t="s">
        <v>59</v>
      </c>
      <c r="G493" t="s">
        <v>650</v>
      </c>
      <c r="H493">
        <v>2</v>
      </c>
      <c r="I493">
        <v>0</v>
      </c>
      <c r="J493" t="s">
        <v>847</v>
      </c>
      <c r="K493">
        <f>IF(AND(H493=OFICIAL!F48,I493=OFICIAL!G48), 5, 0)</f>
        <v>0</v>
      </c>
    </row>
    <row r="494" spans="1:11" x14ac:dyDescent="0.25">
      <c r="A494" t="s">
        <v>73</v>
      </c>
      <c r="B494" t="s">
        <v>96</v>
      </c>
      <c r="C494" t="s">
        <v>651</v>
      </c>
      <c r="D494" t="s">
        <v>52</v>
      </c>
      <c r="E494" t="s">
        <v>54</v>
      </c>
      <c r="F494" t="s">
        <v>61</v>
      </c>
      <c r="G494" t="s">
        <v>652</v>
      </c>
      <c r="H494">
        <v>0</v>
      </c>
      <c r="I494">
        <v>2</v>
      </c>
      <c r="J494" t="s">
        <v>846</v>
      </c>
      <c r="K494">
        <f>IF(AND(H494=OFICIAL!F49,I494=OFICIAL!G49), 5, 0)</f>
        <v>0</v>
      </c>
    </row>
    <row r="495" spans="1:11" x14ac:dyDescent="0.25">
      <c r="A495" t="s">
        <v>73</v>
      </c>
      <c r="B495" t="s">
        <v>96</v>
      </c>
      <c r="C495" t="s">
        <v>655</v>
      </c>
      <c r="D495" t="s">
        <v>7</v>
      </c>
      <c r="E495" t="s">
        <v>9</v>
      </c>
      <c r="F495" t="s">
        <v>13</v>
      </c>
      <c r="G495" t="s">
        <v>654</v>
      </c>
      <c r="H495">
        <v>1</v>
      </c>
      <c r="I495">
        <v>1</v>
      </c>
      <c r="J495" t="s">
        <v>837</v>
      </c>
      <c r="K495">
        <f>IF(AND(H495=OFICIAL!F50,I495=OFICIAL!G50), 5, 0)</f>
        <v>0</v>
      </c>
    </row>
    <row r="496" spans="1:11" x14ac:dyDescent="0.25">
      <c r="A496" t="s">
        <v>73</v>
      </c>
      <c r="B496" t="s">
        <v>96</v>
      </c>
      <c r="C496" t="s">
        <v>653</v>
      </c>
      <c r="D496" t="s">
        <v>7</v>
      </c>
      <c r="E496" t="s">
        <v>14</v>
      </c>
      <c r="F496" t="s">
        <v>8</v>
      </c>
      <c r="G496" t="s">
        <v>654</v>
      </c>
      <c r="H496">
        <v>1</v>
      </c>
      <c r="I496">
        <v>1</v>
      </c>
      <c r="J496" t="s">
        <v>837</v>
      </c>
      <c r="K496">
        <f>IF(AND(H496=OFICIAL!F51,I496=OFICIAL!G51), 5, 0)</f>
        <v>0</v>
      </c>
    </row>
    <row r="497" spans="1:11" x14ac:dyDescent="0.25">
      <c r="A497" t="s">
        <v>73</v>
      </c>
      <c r="B497" t="s">
        <v>96</v>
      </c>
      <c r="C497" t="s">
        <v>656</v>
      </c>
      <c r="D497" t="s">
        <v>15</v>
      </c>
      <c r="E497" t="s">
        <v>19</v>
      </c>
      <c r="F497" t="s">
        <v>16</v>
      </c>
      <c r="G497" t="s">
        <v>657</v>
      </c>
      <c r="H497">
        <v>0</v>
      </c>
      <c r="I497">
        <v>1</v>
      </c>
      <c r="J497" t="s">
        <v>839</v>
      </c>
      <c r="K497">
        <f>IF(AND(H497=OFICIAL!F52,I497=OFICIAL!G52), 5, 0)</f>
        <v>0</v>
      </c>
    </row>
    <row r="498" spans="1:11" x14ac:dyDescent="0.25">
      <c r="A498" t="s">
        <v>73</v>
      </c>
      <c r="B498" t="s">
        <v>96</v>
      </c>
      <c r="C498" t="s">
        <v>658</v>
      </c>
      <c r="D498" t="s">
        <v>15</v>
      </c>
      <c r="E498" t="s">
        <v>17</v>
      </c>
      <c r="F498" t="s">
        <v>18</v>
      </c>
      <c r="G498" t="s">
        <v>657</v>
      </c>
      <c r="H498">
        <v>3</v>
      </c>
      <c r="I498">
        <v>0</v>
      </c>
      <c r="J498" t="s">
        <v>839</v>
      </c>
      <c r="K498">
        <f>IF(AND(H498=OFICIAL!F53,I498=OFICIAL!G53), 5, 0)</f>
        <v>0</v>
      </c>
    </row>
    <row r="499" spans="1:11" x14ac:dyDescent="0.25">
      <c r="A499" t="s">
        <v>73</v>
      </c>
      <c r="B499" t="s">
        <v>96</v>
      </c>
      <c r="C499" t="s">
        <v>659</v>
      </c>
      <c r="D499" t="s">
        <v>2</v>
      </c>
      <c r="E499" t="s">
        <v>5</v>
      </c>
      <c r="F499" t="s">
        <v>4</v>
      </c>
      <c r="G499" t="s">
        <v>660</v>
      </c>
      <c r="H499">
        <v>2</v>
      </c>
      <c r="I499">
        <v>0</v>
      </c>
      <c r="J499" t="s">
        <v>836</v>
      </c>
      <c r="K499">
        <f>IF(AND(H499=OFICIAL!F54,I499=OFICIAL!G54), 5, 0)</f>
        <v>0</v>
      </c>
    </row>
    <row r="500" spans="1:11" x14ac:dyDescent="0.25">
      <c r="A500" t="s">
        <v>73</v>
      </c>
      <c r="B500" t="s">
        <v>96</v>
      </c>
      <c r="C500" t="s">
        <v>661</v>
      </c>
      <c r="D500" t="s">
        <v>2</v>
      </c>
      <c r="E500" t="s">
        <v>6</v>
      </c>
      <c r="F500" t="s">
        <v>3</v>
      </c>
      <c r="G500" t="s">
        <v>660</v>
      </c>
      <c r="H500">
        <v>1</v>
      </c>
      <c r="I500">
        <v>1</v>
      </c>
      <c r="J500" t="s">
        <v>836</v>
      </c>
      <c r="K500">
        <f>IF(AND(H500=OFICIAL!F55,I500=OFICIAL!G55), 5, 0)</f>
        <v>0</v>
      </c>
    </row>
    <row r="501" spans="1:11" x14ac:dyDescent="0.25">
      <c r="A501" t="s">
        <v>73</v>
      </c>
      <c r="B501" t="s">
        <v>96</v>
      </c>
      <c r="C501" t="s">
        <v>662</v>
      </c>
      <c r="D501" t="s">
        <v>22</v>
      </c>
      <c r="E501" t="s">
        <v>29</v>
      </c>
      <c r="F501" t="s">
        <v>23</v>
      </c>
      <c r="G501" t="s">
        <v>663</v>
      </c>
      <c r="H501">
        <v>1</v>
      </c>
      <c r="I501">
        <v>1</v>
      </c>
      <c r="J501" t="s">
        <v>840</v>
      </c>
      <c r="K501">
        <f>IF(AND(H501=OFICIAL!F56,I501=OFICIAL!G56), 5, 0)</f>
        <v>0</v>
      </c>
    </row>
    <row r="502" spans="1:11" x14ac:dyDescent="0.25">
      <c r="A502" t="s">
        <v>73</v>
      </c>
      <c r="B502" t="s">
        <v>96</v>
      </c>
      <c r="C502" t="s">
        <v>664</v>
      </c>
      <c r="D502" t="s">
        <v>22</v>
      </c>
      <c r="E502" t="s">
        <v>24</v>
      </c>
      <c r="F502" t="s">
        <v>28</v>
      </c>
      <c r="G502" t="s">
        <v>663</v>
      </c>
      <c r="H502">
        <v>0</v>
      </c>
      <c r="I502">
        <v>2</v>
      </c>
      <c r="J502" t="s">
        <v>840</v>
      </c>
      <c r="K502">
        <f>IF(AND(H502=OFICIAL!F57,I502=OFICIAL!G57), 5, 0)</f>
        <v>0</v>
      </c>
    </row>
    <row r="503" spans="1:11" x14ac:dyDescent="0.25">
      <c r="A503" t="s">
        <v>73</v>
      </c>
      <c r="B503" t="s">
        <v>96</v>
      </c>
      <c r="C503" t="s">
        <v>665</v>
      </c>
      <c r="D503" t="s">
        <v>25</v>
      </c>
      <c r="E503" t="s">
        <v>27</v>
      </c>
      <c r="F503" t="s">
        <v>30</v>
      </c>
      <c r="G503" t="s">
        <v>666</v>
      </c>
      <c r="H503">
        <v>1</v>
      </c>
      <c r="I503">
        <v>1</v>
      </c>
      <c r="J503" t="s">
        <v>841</v>
      </c>
      <c r="K503">
        <f>IF(AND(H503=OFICIAL!F58,I503=OFICIAL!G58), 5, 0)</f>
        <v>0</v>
      </c>
    </row>
    <row r="504" spans="1:11" x14ac:dyDescent="0.25">
      <c r="A504" t="s">
        <v>73</v>
      </c>
      <c r="B504" t="s">
        <v>96</v>
      </c>
      <c r="C504" t="s">
        <v>667</v>
      </c>
      <c r="D504" t="s">
        <v>25</v>
      </c>
      <c r="E504" t="s">
        <v>31</v>
      </c>
      <c r="F504" t="s">
        <v>26</v>
      </c>
      <c r="G504" t="s">
        <v>666</v>
      </c>
      <c r="H504">
        <v>0</v>
      </c>
      <c r="I504">
        <v>2</v>
      </c>
      <c r="J504" t="s">
        <v>841</v>
      </c>
      <c r="K504">
        <f>IF(AND(H504=OFICIAL!F59,I504=OFICIAL!G59), 5, 0)</f>
        <v>0</v>
      </c>
    </row>
    <row r="505" spans="1:11" x14ac:dyDescent="0.25">
      <c r="A505" t="s">
        <v>73</v>
      </c>
      <c r="B505" t="s">
        <v>96</v>
      </c>
      <c r="C505" t="s">
        <v>668</v>
      </c>
      <c r="D505" t="s">
        <v>10</v>
      </c>
      <c r="E505" t="s">
        <v>21</v>
      </c>
      <c r="F505" t="s">
        <v>11</v>
      </c>
      <c r="G505" t="s">
        <v>669</v>
      </c>
      <c r="H505">
        <v>1</v>
      </c>
      <c r="I505">
        <v>1</v>
      </c>
      <c r="J505" t="s">
        <v>838</v>
      </c>
      <c r="K505">
        <f>IF(AND(H505=OFICIAL!F60,I505=OFICIAL!G60), 5, 0)</f>
        <v>0</v>
      </c>
    </row>
    <row r="506" spans="1:11" x14ac:dyDescent="0.25">
      <c r="A506" t="s">
        <v>73</v>
      </c>
      <c r="B506" t="s">
        <v>96</v>
      </c>
      <c r="C506" t="s">
        <v>670</v>
      </c>
      <c r="D506" t="s">
        <v>10</v>
      </c>
      <c r="E506" t="s">
        <v>12</v>
      </c>
      <c r="F506" t="s">
        <v>20</v>
      </c>
      <c r="G506" t="s">
        <v>669</v>
      </c>
      <c r="H506">
        <v>1</v>
      </c>
      <c r="I506">
        <v>0</v>
      </c>
      <c r="J506" t="s">
        <v>838</v>
      </c>
      <c r="K506">
        <f>IF(AND(H506=OFICIAL!F61,I506=OFICIAL!G61), 5, 0)</f>
        <v>0</v>
      </c>
    </row>
    <row r="507" spans="1:11" x14ac:dyDescent="0.25">
      <c r="A507" t="s">
        <v>73</v>
      </c>
      <c r="B507" t="s">
        <v>96</v>
      </c>
      <c r="C507" t="s">
        <v>673</v>
      </c>
      <c r="D507" t="s">
        <v>42</v>
      </c>
      <c r="E507" t="s">
        <v>44</v>
      </c>
      <c r="F507" t="s">
        <v>45</v>
      </c>
      <c r="G507" t="s">
        <v>672</v>
      </c>
      <c r="H507">
        <v>2</v>
      </c>
      <c r="I507">
        <v>1</v>
      </c>
      <c r="J507" t="s">
        <v>844</v>
      </c>
      <c r="K507">
        <f>IF(AND(H507=OFICIAL!F62,I507=OFICIAL!G62), 5, 0)</f>
        <v>0</v>
      </c>
    </row>
    <row r="508" spans="1:11" x14ac:dyDescent="0.25">
      <c r="A508" t="s">
        <v>73</v>
      </c>
      <c r="B508" t="s">
        <v>96</v>
      </c>
      <c r="C508" t="s">
        <v>671</v>
      </c>
      <c r="D508" t="s">
        <v>42</v>
      </c>
      <c r="E508" t="s">
        <v>46</v>
      </c>
      <c r="F508" t="s">
        <v>43</v>
      </c>
      <c r="G508" t="s">
        <v>672</v>
      </c>
      <c r="H508">
        <v>1</v>
      </c>
      <c r="I508">
        <v>3</v>
      </c>
      <c r="J508" t="s">
        <v>844</v>
      </c>
      <c r="K508">
        <f>IF(AND(H508=OFICIAL!F63,I508=OFICIAL!G63), 5, 0)</f>
        <v>0</v>
      </c>
    </row>
    <row r="509" spans="1:11" x14ac:dyDescent="0.25">
      <c r="A509" t="s">
        <v>73</v>
      </c>
      <c r="B509" t="s">
        <v>96</v>
      </c>
      <c r="C509" t="s">
        <v>676</v>
      </c>
      <c r="D509" t="s">
        <v>32</v>
      </c>
      <c r="E509" t="s">
        <v>34</v>
      </c>
      <c r="F509" t="s">
        <v>38</v>
      </c>
      <c r="G509" t="s">
        <v>675</v>
      </c>
      <c r="H509">
        <v>1</v>
      </c>
      <c r="I509">
        <v>1</v>
      </c>
      <c r="J509" t="s">
        <v>842</v>
      </c>
      <c r="K509">
        <f>IF(AND(H509=OFICIAL!F64,I509=OFICIAL!G64), 5, 0)</f>
        <v>0</v>
      </c>
    </row>
    <row r="510" spans="1:11" x14ac:dyDescent="0.25">
      <c r="A510" t="s">
        <v>73</v>
      </c>
      <c r="B510" t="s">
        <v>96</v>
      </c>
      <c r="C510" t="s">
        <v>674</v>
      </c>
      <c r="D510" t="s">
        <v>32</v>
      </c>
      <c r="E510" t="s">
        <v>39</v>
      </c>
      <c r="F510" t="s">
        <v>33</v>
      </c>
      <c r="G510" t="s">
        <v>675</v>
      </c>
      <c r="H510">
        <v>0</v>
      </c>
      <c r="I510">
        <v>2</v>
      </c>
      <c r="J510" t="s">
        <v>842</v>
      </c>
      <c r="K510">
        <f>IF(AND(H510=OFICIAL!F65,I510=OFICIAL!G65), 5, 0)</f>
        <v>0</v>
      </c>
    </row>
    <row r="511" spans="1:11" x14ac:dyDescent="0.25">
      <c r="A511" t="s">
        <v>73</v>
      </c>
      <c r="B511" t="s">
        <v>96</v>
      </c>
      <c r="C511" t="s">
        <v>677</v>
      </c>
      <c r="D511" t="s">
        <v>35</v>
      </c>
      <c r="E511" t="s">
        <v>37</v>
      </c>
      <c r="F511" t="s">
        <v>40</v>
      </c>
      <c r="G511" t="s">
        <v>678</v>
      </c>
      <c r="H511">
        <v>1</v>
      </c>
      <c r="I511">
        <v>1</v>
      </c>
      <c r="J511" t="s">
        <v>843</v>
      </c>
      <c r="K511">
        <f>IF(AND(H511=OFICIAL!F66,I511=OFICIAL!G66), 5, 0)</f>
        <v>0</v>
      </c>
    </row>
    <row r="512" spans="1:11" x14ac:dyDescent="0.25">
      <c r="A512" t="s">
        <v>73</v>
      </c>
      <c r="B512" t="s">
        <v>96</v>
      </c>
      <c r="C512" t="s">
        <v>679</v>
      </c>
      <c r="D512" t="s">
        <v>35</v>
      </c>
      <c r="E512" t="s">
        <v>41</v>
      </c>
      <c r="F512" t="s">
        <v>36</v>
      </c>
      <c r="G512" t="s">
        <v>678</v>
      </c>
      <c r="H512">
        <v>0</v>
      </c>
      <c r="I512">
        <v>3</v>
      </c>
      <c r="J512" t="s">
        <v>843</v>
      </c>
      <c r="K512">
        <f>IF(AND(H512=OFICIAL!F67,I512=OFICIAL!G67), 5, 0)</f>
        <v>0</v>
      </c>
    </row>
    <row r="513" spans="1:12" x14ac:dyDescent="0.25">
      <c r="A513" t="s">
        <v>73</v>
      </c>
      <c r="B513" t="s">
        <v>96</v>
      </c>
      <c r="C513" t="s">
        <v>680</v>
      </c>
      <c r="D513" t="s">
        <v>55</v>
      </c>
      <c r="E513" t="s">
        <v>59</v>
      </c>
      <c r="F513" t="s">
        <v>56</v>
      </c>
      <c r="G513" t="s">
        <v>681</v>
      </c>
      <c r="H513">
        <v>0</v>
      </c>
      <c r="I513">
        <v>3</v>
      </c>
      <c r="J513" t="s">
        <v>847</v>
      </c>
      <c r="K513">
        <f>IF(AND(H513=OFICIAL!F68,I513=OFICIAL!G68), 5, 0)</f>
        <v>0</v>
      </c>
    </row>
    <row r="514" spans="1:12" x14ac:dyDescent="0.25">
      <c r="A514" t="s">
        <v>73</v>
      </c>
      <c r="B514" t="s">
        <v>96</v>
      </c>
      <c r="C514" t="s">
        <v>682</v>
      </c>
      <c r="D514" t="s">
        <v>55</v>
      </c>
      <c r="E514" t="s">
        <v>57</v>
      </c>
      <c r="F514" t="s">
        <v>58</v>
      </c>
      <c r="G514" t="s">
        <v>681</v>
      </c>
      <c r="H514">
        <v>2</v>
      </c>
      <c r="I514">
        <v>1</v>
      </c>
      <c r="J514" t="s">
        <v>847</v>
      </c>
      <c r="K514">
        <f>IF(AND(H514=OFICIAL!F69,I514=OFICIAL!G69), 5, 0)</f>
        <v>0</v>
      </c>
    </row>
    <row r="515" spans="1:12" x14ac:dyDescent="0.25">
      <c r="A515" t="s">
        <v>73</v>
      </c>
      <c r="B515" t="s">
        <v>96</v>
      </c>
      <c r="C515" t="s">
        <v>683</v>
      </c>
      <c r="D515" t="s">
        <v>52</v>
      </c>
      <c r="E515" t="s">
        <v>54</v>
      </c>
      <c r="F515" t="s">
        <v>60</v>
      </c>
      <c r="G515" t="s">
        <v>684</v>
      </c>
      <c r="H515">
        <v>1</v>
      </c>
      <c r="I515">
        <v>1</v>
      </c>
      <c r="J515" t="s">
        <v>846</v>
      </c>
      <c r="K515">
        <f>IF(AND(H515=OFICIAL!F70,I515=OFICIAL!G70), 5, 0)</f>
        <v>0</v>
      </c>
    </row>
    <row r="516" spans="1:12" x14ac:dyDescent="0.25">
      <c r="A516" t="s">
        <v>73</v>
      </c>
      <c r="B516" t="s">
        <v>96</v>
      </c>
      <c r="C516" t="s">
        <v>685</v>
      </c>
      <c r="D516" t="s">
        <v>52</v>
      </c>
      <c r="E516" t="s">
        <v>61</v>
      </c>
      <c r="F516" t="s">
        <v>53</v>
      </c>
      <c r="G516" t="s">
        <v>684</v>
      </c>
      <c r="H516">
        <v>0</v>
      </c>
      <c r="I516">
        <v>1</v>
      </c>
      <c r="J516" t="s">
        <v>846</v>
      </c>
      <c r="K516">
        <f>IF(AND(H516=OFICIAL!F71,I516=OFICIAL!G71), 5, 0)</f>
        <v>0</v>
      </c>
    </row>
    <row r="517" spans="1:12" x14ac:dyDescent="0.25">
      <c r="A517" t="s">
        <v>73</v>
      </c>
      <c r="B517" t="s">
        <v>96</v>
      </c>
      <c r="C517" s="4" t="s">
        <v>688</v>
      </c>
      <c r="D517" t="s">
        <v>47</v>
      </c>
      <c r="E517" t="s">
        <v>51</v>
      </c>
      <c r="F517" t="s">
        <v>48</v>
      </c>
      <c r="G517" t="s">
        <v>687</v>
      </c>
      <c r="H517">
        <v>0</v>
      </c>
      <c r="I517">
        <v>1</v>
      </c>
      <c r="J517" t="s">
        <v>845</v>
      </c>
      <c r="K517">
        <f>IF(AND(H517=OFICIAL!F72,I517=OFICIAL!G72), 5, 0)</f>
        <v>0</v>
      </c>
    </row>
    <row r="518" spans="1:12" x14ac:dyDescent="0.25">
      <c r="A518" t="s">
        <v>73</v>
      </c>
      <c r="B518" t="s">
        <v>96</v>
      </c>
      <c r="C518" t="s">
        <v>686</v>
      </c>
      <c r="D518" t="s">
        <v>47</v>
      </c>
      <c r="E518" t="s">
        <v>49</v>
      </c>
      <c r="F518" t="s">
        <v>50</v>
      </c>
      <c r="G518" t="s">
        <v>687</v>
      </c>
      <c r="H518">
        <v>2</v>
      </c>
      <c r="I518">
        <v>1</v>
      </c>
      <c r="J518" t="s">
        <v>845</v>
      </c>
      <c r="K518">
        <f>IF(AND(H518=OFICIAL!F73,I518=OFICIAL!G73), 5, 0)</f>
        <v>0</v>
      </c>
    </row>
    <row r="520" spans="1:12" ht="18" customHeight="1" thickBot="1" x14ac:dyDescent="0.3">
      <c r="A520" s="23" t="s">
        <v>74</v>
      </c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</row>
    <row r="521" spans="1:12" ht="15.75" thickBot="1" x14ac:dyDescent="0.3">
      <c r="A521" t="s">
        <v>75</v>
      </c>
      <c r="B521" t="s">
        <v>98</v>
      </c>
      <c r="C521" t="s">
        <v>554</v>
      </c>
      <c r="D521" t="s">
        <v>2</v>
      </c>
      <c r="E521" t="s">
        <v>3</v>
      </c>
      <c r="F521" t="s">
        <v>4</v>
      </c>
      <c r="G521" t="s">
        <v>555</v>
      </c>
      <c r="H521">
        <v>2</v>
      </c>
      <c r="I521">
        <v>0</v>
      </c>
      <c r="J521" t="s">
        <v>848</v>
      </c>
      <c r="K521">
        <f>IF(AND(H521=OFICIAL!F2,I521=OFICIAL!G2), 5, 0)</f>
        <v>5</v>
      </c>
      <c r="L521" s="6">
        <f>SUM(K521:K592)</f>
        <v>25</v>
      </c>
    </row>
    <row r="522" spans="1:12" x14ac:dyDescent="0.25">
      <c r="A522" t="s">
        <v>75</v>
      </c>
      <c r="B522" t="s">
        <v>98</v>
      </c>
      <c r="C522" t="s">
        <v>557</v>
      </c>
      <c r="D522" t="s">
        <v>2</v>
      </c>
      <c r="E522" t="s">
        <v>5</v>
      </c>
      <c r="F522" t="s">
        <v>6</v>
      </c>
      <c r="G522" t="s">
        <v>558</v>
      </c>
      <c r="H522">
        <v>1</v>
      </c>
      <c r="I522">
        <v>2</v>
      </c>
      <c r="J522" t="s">
        <v>848</v>
      </c>
      <c r="K522">
        <f>IF(AND(H522=OFICIAL!F3,I522=OFICIAL!G3), 5, 0)</f>
        <v>0</v>
      </c>
    </row>
    <row r="523" spans="1:12" x14ac:dyDescent="0.25">
      <c r="A523" t="s">
        <v>75</v>
      </c>
      <c r="B523" t="s">
        <v>98</v>
      </c>
      <c r="C523" t="s">
        <v>559</v>
      </c>
      <c r="D523" t="s">
        <v>7</v>
      </c>
      <c r="E523" t="s">
        <v>8</v>
      </c>
      <c r="F523" t="s">
        <v>9</v>
      </c>
      <c r="G523" t="s">
        <v>560</v>
      </c>
      <c r="H523">
        <v>1</v>
      </c>
      <c r="I523">
        <v>1</v>
      </c>
      <c r="J523" t="s">
        <v>849</v>
      </c>
      <c r="K523">
        <f>IF(AND(H523=OFICIAL!F4,I523=OFICIAL!G4), 5, 0)</f>
        <v>5</v>
      </c>
    </row>
    <row r="524" spans="1:12" x14ac:dyDescent="0.25">
      <c r="A524" t="s">
        <v>75</v>
      </c>
      <c r="B524" t="s">
        <v>98</v>
      </c>
      <c r="C524" t="s">
        <v>561</v>
      </c>
      <c r="D524" t="s">
        <v>10</v>
      </c>
      <c r="E524" t="s">
        <v>11</v>
      </c>
      <c r="F524" t="s">
        <v>12</v>
      </c>
      <c r="G524" t="s">
        <v>562</v>
      </c>
      <c r="H524">
        <v>1</v>
      </c>
      <c r="I524">
        <v>0</v>
      </c>
      <c r="J524" t="s">
        <v>850</v>
      </c>
      <c r="K524">
        <f>IF(AND(H524=OFICIAL!F5,I524=OFICIAL!G5), 5, 0)</f>
        <v>0</v>
      </c>
    </row>
    <row r="525" spans="1:12" x14ac:dyDescent="0.25">
      <c r="A525" t="s">
        <v>75</v>
      </c>
      <c r="B525" t="s">
        <v>98</v>
      </c>
      <c r="C525" t="s">
        <v>563</v>
      </c>
      <c r="D525" t="s">
        <v>7</v>
      </c>
      <c r="E525" t="s">
        <v>13</v>
      </c>
      <c r="F525" t="s">
        <v>14</v>
      </c>
      <c r="G525" t="s">
        <v>564</v>
      </c>
      <c r="H525">
        <v>0</v>
      </c>
      <c r="I525">
        <v>3</v>
      </c>
      <c r="J525" t="s">
        <v>849</v>
      </c>
      <c r="K525">
        <f>IF(AND(H525=OFICIAL!F6,I525=OFICIAL!G6), 5, 0)</f>
        <v>0</v>
      </c>
    </row>
    <row r="526" spans="1:12" x14ac:dyDescent="0.25">
      <c r="A526" t="s">
        <v>75</v>
      </c>
      <c r="B526" t="s">
        <v>98</v>
      </c>
      <c r="C526" t="s">
        <v>565</v>
      </c>
      <c r="D526" t="s">
        <v>15</v>
      </c>
      <c r="E526" t="s">
        <v>16</v>
      </c>
      <c r="F526" t="s">
        <v>17</v>
      </c>
      <c r="G526" t="s">
        <v>566</v>
      </c>
      <c r="H526">
        <v>3</v>
      </c>
      <c r="I526">
        <v>1</v>
      </c>
      <c r="J526" t="s">
        <v>851</v>
      </c>
      <c r="K526">
        <f>IF(AND(H526=OFICIAL!F7,I526=OFICIAL!G7), 5, 0)</f>
        <v>0</v>
      </c>
    </row>
    <row r="527" spans="1:12" x14ac:dyDescent="0.25">
      <c r="A527" t="s">
        <v>75</v>
      </c>
      <c r="B527" t="s">
        <v>98</v>
      </c>
      <c r="C527" t="s">
        <v>567</v>
      </c>
      <c r="D527" t="s">
        <v>15</v>
      </c>
      <c r="E527" t="s">
        <v>18</v>
      </c>
      <c r="F527" t="s">
        <v>19</v>
      </c>
      <c r="G527" t="s">
        <v>568</v>
      </c>
      <c r="H527">
        <v>0</v>
      </c>
      <c r="I527">
        <v>2</v>
      </c>
      <c r="J527" t="s">
        <v>851</v>
      </c>
      <c r="K527">
        <f>IF(AND(H527=OFICIAL!F8,I527=OFICIAL!G8), 5, 0)</f>
        <v>0</v>
      </c>
    </row>
    <row r="528" spans="1:12" x14ac:dyDescent="0.25">
      <c r="A528" t="s">
        <v>75</v>
      </c>
      <c r="B528" t="s">
        <v>98</v>
      </c>
      <c r="C528" t="s">
        <v>569</v>
      </c>
      <c r="D528" t="s">
        <v>10</v>
      </c>
      <c r="E528" t="s">
        <v>20</v>
      </c>
      <c r="F528" t="s">
        <v>21</v>
      </c>
      <c r="G528" t="s">
        <v>570</v>
      </c>
      <c r="H528">
        <v>1</v>
      </c>
      <c r="I528">
        <v>2</v>
      </c>
      <c r="J528" t="s">
        <v>850</v>
      </c>
      <c r="K528">
        <f>IF(AND(H528=OFICIAL!F9,I528=OFICIAL!G9), 5, 0)</f>
        <v>0</v>
      </c>
    </row>
    <row r="529" spans="1:11" x14ac:dyDescent="0.25">
      <c r="A529" t="s">
        <v>75</v>
      </c>
      <c r="B529" t="s">
        <v>98</v>
      </c>
      <c r="C529" t="s">
        <v>571</v>
      </c>
      <c r="D529" t="s">
        <v>22</v>
      </c>
      <c r="E529" t="s">
        <v>23</v>
      </c>
      <c r="F529" t="s">
        <v>24</v>
      </c>
      <c r="G529" t="s">
        <v>572</v>
      </c>
      <c r="H529">
        <v>4</v>
      </c>
      <c r="I529">
        <v>1</v>
      </c>
      <c r="J529" t="s">
        <v>852</v>
      </c>
      <c r="K529">
        <f>IF(AND(H529=OFICIAL!F10,I529=OFICIAL!G10), 5, 0)</f>
        <v>0</v>
      </c>
    </row>
    <row r="530" spans="1:11" x14ac:dyDescent="0.25">
      <c r="A530" t="s">
        <v>75</v>
      </c>
      <c r="B530" t="s">
        <v>98</v>
      </c>
      <c r="C530" t="s">
        <v>573</v>
      </c>
      <c r="D530" t="s">
        <v>25</v>
      </c>
      <c r="E530" t="s">
        <v>26</v>
      </c>
      <c r="F530" t="s">
        <v>27</v>
      </c>
      <c r="G530" t="s">
        <v>574</v>
      </c>
      <c r="H530">
        <v>2</v>
      </c>
      <c r="I530">
        <v>1</v>
      </c>
      <c r="J530" t="s">
        <v>853</v>
      </c>
      <c r="K530">
        <f>IF(AND(H530=OFICIAL!F11,I530=OFICIAL!G11), 5, 0)</f>
        <v>0</v>
      </c>
    </row>
    <row r="531" spans="1:11" x14ac:dyDescent="0.25">
      <c r="A531" t="s">
        <v>75</v>
      </c>
      <c r="B531" t="s">
        <v>98</v>
      </c>
      <c r="C531" t="s">
        <v>575</v>
      </c>
      <c r="D531" t="s">
        <v>22</v>
      </c>
      <c r="E531" t="s">
        <v>28</v>
      </c>
      <c r="F531" t="s">
        <v>29</v>
      </c>
      <c r="G531" t="s">
        <v>576</v>
      </c>
      <c r="H531">
        <v>1</v>
      </c>
      <c r="I531">
        <v>3</v>
      </c>
      <c r="J531" t="s">
        <v>852</v>
      </c>
      <c r="K531">
        <f>IF(AND(H531=OFICIAL!F12,I531=OFICIAL!G12), 5, 0)</f>
        <v>0</v>
      </c>
    </row>
    <row r="532" spans="1:11" x14ac:dyDescent="0.25">
      <c r="A532" t="s">
        <v>75</v>
      </c>
      <c r="B532" t="s">
        <v>98</v>
      </c>
      <c r="C532" t="s">
        <v>577</v>
      </c>
      <c r="D532" t="s">
        <v>25</v>
      </c>
      <c r="E532" t="s">
        <v>30</v>
      </c>
      <c r="F532" t="s">
        <v>31</v>
      </c>
      <c r="G532" t="s">
        <v>578</v>
      </c>
      <c r="H532">
        <v>2</v>
      </c>
      <c r="I532">
        <v>1</v>
      </c>
      <c r="J532" t="s">
        <v>853</v>
      </c>
      <c r="K532">
        <f>IF(AND(H532=OFICIAL!F13,I532=OFICIAL!G13), 5, 0)</f>
        <v>0</v>
      </c>
    </row>
    <row r="533" spans="1:11" x14ac:dyDescent="0.25">
      <c r="A533" t="s">
        <v>75</v>
      </c>
      <c r="B533" t="s">
        <v>98</v>
      </c>
      <c r="C533" t="s">
        <v>579</v>
      </c>
      <c r="D533" t="s">
        <v>32</v>
      </c>
      <c r="E533" t="s">
        <v>33</v>
      </c>
      <c r="F533" t="s">
        <v>34</v>
      </c>
      <c r="G533" t="s">
        <v>580</v>
      </c>
      <c r="H533">
        <v>3</v>
      </c>
      <c r="I533">
        <v>0</v>
      </c>
      <c r="J533" t="s">
        <v>854</v>
      </c>
      <c r="K533">
        <f>IF(AND(H533=OFICIAL!F14,I533=OFICIAL!G14), 5, 0)</f>
        <v>0</v>
      </c>
    </row>
    <row r="534" spans="1:11" x14ac:dyDescent="0.25">
      <c r="A534" t="s">
        <v>75</v>
      </c>
      <c r="B534" t="s">
        <v>98</v>
      </c>
      <c r="C534" t="s">
        <v>581</v>
      </c>
      <c r="D534" t="s">
        <v>35</v>
      </c>
      <c r="E534" t="s">
        <v>36</v>
      </c>
      <c r="F534" t="s">
        <v>37</v>
      </c>
      <c r="G534" t="s">
        <v>582</v>
      </c>
      <c r="H534">
        <v>2</v>
      </c>
      <c r="I534">
        <v>1</v>
      </c>
      <c r="J534" t="s">
        <v>855</v>
      </c>
      <c r="K534">
        <f>IF(AND(H534=OFICIAL!F15,I534=OFICIAL!G15), 5, 0)</f>
        <v>0</v>
      </c>
    </row>
    <row r="535" spans="1:11" x14ac:dyDescent="0.25">
      <c r="A535" t="s">
        <v>75</v>
      </c>
      <c r="B535" t="s">
        <v>98</v>
      </c>
      <c r="C535" t="s">
        <v>583</v>
      </c>
      <c r="D535" t="s">
        <v>32</v>
      </c>
      <c r="E535" t="s">
        <v>38</v>
      </c>
      <c r="F535" t="s">
        <v>39</v>
      </c>
      <c r="G535" t="s">
        <v>584</v>
      </c>
      <c r="H535">
        <v>1</v>
      </c>
      <c r="I535">
        <v>3</v>
      </c>
      <c r="J535" t="s">
        <v>854</v>
      </c>
      <c r="K535">
        <f>IF(AND(H535=OFICIAL!F16,I535=OFICIAL!G16), 5, 0)</f>
        <v>0</v>
      </c>
    </row>
    <row r="536" spans="1:11" x14ac:dyDescent="0.25">
      <c r="A536" t="s">
        <v>75</v>
      </c>
      <c r="B536" t="s">
        <v>98</v>
      </c>
      <c r="C536" t="s">
        <v>585</v>
      </c>
      <c r="D536" t="s">
        <v>35</v>
      </c>
      <c r="E536" t="s">
        <v>40</v>
      </c>
      <c r="F536" t="s">
        <v>41</v>
      </c>
      <c r="G536" t="s">
        <v>586</v>
      </c>
      <c r="H536">
        <v>1</v>
      </c>
      <c r="I536">
        <v>1</v>
      </c>
      <c r="J536" t="s">
        <v>855</v>
      </c>
      <c r="K536">
        <f>IF(AND(H536=OFICIAL!F17,I536=OFICIAL!G17), 5, 0)</f>
        <v>0</v>
      </c>
    </row>
    <row r="537" spans="1:11" x14ac:dyDescent="0.25">
      <c r="A537" t="s">
        <v>75</v>
      </c>
      <c r="B537" t="s">
        <v>98</v>
      </c>
      <c r="C537" t="s">
        <v>587</v>
      </c>
      <c r="D537" t="s">
        <v>42</v>
      </c>
      <c r="E537" t="s">
        <v>43</v>
      </c>
      <c r="F537" t="s">
        <v>44</v>
      </c>
      <c r="G537" t="s">
        <v>588</v>
      </c>
      <c r="H537">
        <v>3</v>
      </c>
      <c r="I537">
        <v>1</v>
      </c>
      <c r="J537" t="s">
        <v>856</v>
      </c>
      <c r="K537">
        <f>IF(AND(H537=OFICIAL!F18,I537=OFICIAL!G18), 5, 0)</f>
        <v>5</v>
      </c>
    </row>
    <row r="538" spans="1:11" x14ac:dyDescent="0.25">
      <c r="A538" t="s">
        <v>75</v>
      </c>
      <c r="B538" t="s">
        <v>98</v>
      </c>
      <c r="C538" t="s">
        <v>589</v>
      </c>
      <c r="D538" t="s">
        <v>42</v>
      </c>
      <c r="E538" t="s">
        <v>45</v>
      </c>
      <c r="F538" t="s">
        <v>46</v>
      </c>
      <c r="G538" t="s">
        <v>590</v>
      </c>
      <c r="H538">
        <v>1</v>
      </c>
      <c r="I538">
        <v>3</v>
      </c>
      <c r="J538" t="s">
        <v>856</v>
      </c>
      <c r="K538">
        <f>IF(AND(H538=OFICIAL!F19,I538=OFICIAL!G19), 5, 0)</f>
        <v>0</v>
      </c>
    </row>
    <row r="539" spans="1:11" x14ac:dyDescent="0.25">
      <c r="A539" t="s">
        <v>75</v>
      </c>
      <c r="B539" t="s">
        <v>98</v>
      </c>
      <c r="C539" t="s">
        <v>591</v>
      </c>
      <c r="D539" t="s">
        <v>47</v>
      </c>
      <c r="E539" t="s">
        <v>48</v>
      </c>
      <c r="F539" t="s">
        <v>49</v>
      </c>
      <c r="G539" t="s">
        <v>592</v>
      </c>
      <c r="H539">
        <v>3</v>
      </c>
      <c r="I539">
        <v>1</v>
      </c>
      <c r="J539" t="s">
        <v>857</v>
      </c>
      <c r="K539">
        <f>IF(AND(H539=OFICIAL!F20,I539=OFICIAL!G20), 5, 0)</f>
        <v>0</v>
      </c>
    </row>
    <row r="540" spans="1:11" x14ac:dyDescent="0.25">
      <c r="A540" t="s">
        <v>75</v>
      </c>
      <c r="B540" t="s">
        <v>98</v>
      </c>
      <c r="C540" t="s">
        <v>593</v>
      </c>
      <c r="D540" t="s">
        <v>47</v>
      </c>
      <c r="E540" t="s">
        <v>50</v>
      </c>
      <c r="F540" t="s">
        <v>51</v>
      </c>
      <c r="G540" t="s">
        <v>594</v>
      </c>
      <c r="H540">
        <v>2</v>
      </c>
      <c r="I540">
        <v>0</v>
      </c>
      <c r="J540" t="s">
        <v>857</v>
      </c>
      <c r="K540">
        <f>IF(AND(H540=OFICIAL!F21,I540=OFICIAL!G21), 5, 0)</f>
        <v>0</v>
      </c>
    </row>
    <row r="541" spans="1:11" x14ac:dyDescent="0.25">
      <c r="A541" t="s">
        <v>75</v>
      </c>
      <c r="B541" t="s">
        <v>98</v>
      </c>
      <c r="C541" t="s">
        <v>595</v>
      </c>
      <c r="D541" t="s">
        <v>52</v>
      </c>
      <c r="E541" t="s">
        <v>53</v>
      </c>
      <c r="F541" t="s">
        <v>54</v>
      </c>
      <c r="G541" t="s">
        <v>596</v>
      </c>
      <c r="H541">
        <v>3</v>
      </c>
      <c r="I541">
        <v>1</v>
      </c>
      <c r="J541" t="s">
        <v>858</v>
      </c>
      <c r="K541">
        <f>IF(AND(H541=OFICIAL!F22,I541=OFICIAL!G22), 5, 0)</f>
        <v>0</v>
      </c>
    </row>
    <row r="542" spans="1:11" x14ac:dyDescent="0.25">
      <c r="A542" t="s">
        <v>75</v>
      </c>
      <c r="B542" t="s">
        <v>98</v>
      </c>
      <c r="C542" t="s">
        <v>597</v>
      </c>
      <c r="D542" t="s">
        <v>55</v>
      </c>
      <c r="E542" t="s">
        <v>56</v>
      </c>
      <c r="F542" t="s">
        <v>57</v>
      </c>
      <c r="G542" t="s">
        <v>598</v>
      </c>
      <c r="H542">
        <v>1</v>
      </c>
      <c r="I542">
        <v>1</v>
      </c>
      <c r="J542" t="s">
        <v>859</v>
      </c>
      <c r="K542">
        <f>IF(AND(H542=OFICIAL!F23,I542=OFICIAL!G23), 5, 0)</f>
        <v>0</v>
      </c>
    </row>
    <row r="543" spans="1:11" x14ac:dyDescent="0.25">
      <c r="A543" t="s">
        <v>75</v>
      </c>
      <c r="B543" t="s">
        <v>98</v>
      </c>
      <c r="C543" t="s">
        <v>599</v>
      </c>
      <c r="D543" t="s">
        <v>55</v>
      </c>
      <c r="E543" t="s">
        <v>58</v>
      </c>
      <c r="F543" t="s">
        <v>59</v>
      </c>
      <c r="G543" t="s">
        <v>600</v>
      </c>
      <c r="H543">
        <v>0</v>
      </c>
      <c r="I543">
        <v>1</v>
      </c>
      <c r="J543" t="s">
        <v>859</v>
      </c>
      <c r="K543">
        <f>IF(AND(H543=OFICIAL!F24,I543=OFICIAL!G24), 5, 0)</f>
        <v>0</v>
      </c>
    </row>
    <row r="544" spans="1:11" x14ac:dyDescent="0.25">
      <c r="A544" t="s">
        <v>75</v>
      </c>
      <c r="B544" t="s">
        <v>98</v>
      </c>
      <c r="C544" t="s">
        <v>601</v>
      </c>
      <c r="D544" t="s">
        <v>52</v>
      </c>
      <c r="E544" t="s">
        <v>60</v>
      </c>
      <c r="F544" t="s">
        <v>61</v>
      </c>
      <c r="G544" t="s">
        <v>602</v>
      </c>
      <c r="H544">
        <v>0</v>
      </c>
      <c r="I544">
        <v>2</v>
      </c>
      <c r="J544" t="s">
        <v>858</v>
      </c>
      <c r="K544">
        <f>IF(AND(H544=OFICIAL!F25,I544=OFICIAL!G25), 5, 0)</f>
        <v>0</v>
      </c>
    </row>
    <row r="545" spans="1:11" x14ac:dyDescent="0.25">
      <c r="A545" t="s">
        <v>75</v>
      </c>
      <c r="B545" t="s">
        <v>98</v>
      </c>
      <c r="C545" t="s">
        <v>603</v>
      </c>
      <c r="D545" t="s">
        <v>2</v>
      </c>
      <c r="E545" t="s">
        <v>4</v>
      </c>
      <c r="F545" t="s">
        <v>6</v>
      </c>
      <c r="G545" t="s">
        <v>604</v>
      </c>
      <c r="H545">
        <v>1</v>
      </c>
      <c r="I545">
        <v>2</v>
      </c>
      <c r="J545" t="s">
        <v>848</v>
      </c>
      <c r="K545">
        <f>IF(AND(H545=OFICIAL!F26,I545=OFICIAL!G26), 5, 0)</f>
        <v>0</v>
      </c>
    </row>
    <row r="546" spans="1:11" x14ac:dyDescent="0.25">
      <c r="A546" t="s">
        <v>75</v>
      </c>
      <c r="B546" t="s">
        <v>98</v>
      </c>
      <c r="C546" t="s">
        <v>605</v>
      </c>
      <c r="D546" t="s">
        <v>7</v>
      </c>
      <c r="E546" t="s">
        <v>9</v>
      </c>
      <c r="F546" t="s">
        <v>14</v>
      </c>
      <c r="G546" t="s">
        <v>606</v>
      </c>
      <c r="H546">
        <v>1</v>
      </c>
      <c r="I546">
        <v>2</v>
      </c>
      <c r="J546" t="s">
        <v>849</v>
      </c>
      <c r="K546">
        <f>IF(AND(H546=OFICIAL!F27,I546=OFICIAL!G27), 5, 0)</f>
        <v>0</v>
      </c>
    </row>
    <row r="547" spans="1:11" x14ac:dyDescent="0.25">
      <c r="A547" t="s">
        <v>75</v>
      </c>
      <c r="B547" t="s">
        <v>98</v>
      </c>
      <c r="C547" t="s">
        <v>607</v>
      </c>
      <c r="D547" t="s">
        <v>7</v>
      </c>
      <c r="E547" t="s">
        <v>8</v>
      </c>
      <c r="F547" t="s">
        <v>13</v>
      </c>
      <c r="G547" t="s">
        <v>608</v>
      </c>
      <c r="H547">
        <v>2</v>
      </c>
      <c r="I547">
        <v>1</v>
      </c>
      <c r="J547" t="s">
        <v>849</v>
      </c>
      <c r="K547">
        <f>IF(AND(H547=OFICIAL!F28,I547=OFICIAL!G28), 5, 0)</f>
        <v>0</v>
      </c>
    </row>
    <row r="548" spans="1:11" x14ac:dyDescent="0.25">
      <c r="A548" t="s">
        <v>75</v>
      </c>
      <c r="B548" t="s">
        <v>98</v>
      </c>
      <c r="C548" t="s">
        <v>609</v>
      </c>
      <c r="D548" t="s">
        <v>2</v>
      </c>
      <c r="E548" t="s">
        <v>3</v>
      </c>
      <c r="F548" t="s">
        <v>5</v>
      </c>
      <c r="G548" t="s">
        <v>610</v>
      </c>
      <c r="H548">
        <v>2</v>
      </c>
      <c r="I548">
        <v>1</v>
      </c>
      <c r="J548" t="s">
        <v>848</v>
      </c>
      <c r="K548">
        <f>IF(AND(H548=OFICIAL!F29,I548=OFICIAL!G29), 5, 0)</f>
        <v>0</v>
      </c>
    </row>
    <row r="549" spans="1:11" x14ac:dyDescent="0.25">
      <c r="A549" t="s">
        <v>75</v>
      </c>
      <c r="B549" t="s">
        <v>98</v>
      </c>
      <c r="C549" t="s">
        <v>611</v>
      </c>
      <c r="D549" t="s">
        <v>10</v>
      </c>
      <c r="E549" t="s">
        <v>11</v>
      </c>
      <c r="F549" t="s">
        <v>20</v>
      </c>
      <c r="G549" t="s">
        <v>612</v>
      </c>
      <c r="H549">
        <v>2</v>
      </c>
      <c r="I549">
        <v>1</v>
      </c>
      <c r="J549" t="s">
        <v>850</v>
      </c>
      <c r="K549">
        <f>IF(AND(H549=OFICIAL!F30,I549=OFICIAL!G30), 5, 0)</f>
        <v>0</v>
      </c>
    </row>
    <row r="550" spans="1:11" x14ac:dyDescent="0.25">
      <c r="A550" t="s">
        <v>75</v>
      </c>
      <c r="B550" t="s">
        <v>98</v>
      </c>
      <c r="C550" t="s">
        <v>613</v>
      </c>
      <c r="D550" t="s">
        <v>15</v>
      </c>
      <c r="E550" t="s">
        <v>17</v>
      </c>
      <c r="F550" t="s">
        <v>19</v>
      </c>
      <c r="G550" t="s">
        <v>614</v>
      </c>
      <c r="H550">
        <v>1</v>
      </c>
      <c r="I550">
        <v>1</v>
      </c>
      <c r="J550" t="s">
        <v>851</v>
      </c>
      <c r="K550">
        <f>IF(AND(H550=OFICIAL!F31,I550=OFICIAL!G31), 5, 0)</f>
        <v>0</v>
      </c>
    </row>
    <row r="551" spans="1:11" x14ac:dyDescent="0.25">
      <c r="A551" t="s">
        <v>75</v>
      </c>
      <c r="B551" t="s">
        <v>98</v>
      </c>
      <c r="C551" t="s">
        <v>615</v>
      </c>
      <c r="D551" t="s">
        <v>15</v>
      </c>
      <c r="E551" t="s">
        <v>16</v>
      </c>
      <c r="F551" t="s">
        <v>18</v>
      </c>
      <c r="G551" t="s">
        <v>616</v>
      </c>
      <c r="H551">
        <v>3</v>
      </c>
      <c r="I551">
        <v>0</v>
      </c>
      <c r="J551" t="s">
        <v>851</v>
      </c>
      <c r="K551">
        <f>IF(AND(H551=OFICIAL!F32,I551=OFICIAL!G32), 5, 0)</f>
        <v>5</v>
      </c>
    </row>
    <row r="552" spans="1:11" x14ac:dyDescent="0.25">
      <c r="A552" t="s">
        <v>75</v>
      </c>
      <c r="B552" t="s">
        <v>98</v>
      </c>
      <c r="C552" t="s">
        <v>617</v>
      </c>
      <c r="D552" t="s">
        <v>10</v>
      </c>
      <c r="E552" t="s">
        <v>12</v>
      </c>
      <c r="F552" t="s">
        <v>21</v>
      </c>
      <c r="G552" t="s">
        <v>618</v>
      </c>
      <c r="H552">
        <v>1</v>
      </c>
      <c r="I552">
        <v>2</v>
      </c>
      <c r="J552" t="s">
        <v>850</v>
      </c>
      <c r="K552">
        <f>IF(AND(H552=OFICIAL!F33,I552=OFICIAL!G33), 5, 0)</f>
        <v>0</v>
      </c>
    </row>
    <row r="553" spans="1:11" x14ac:dyDescent="0.25">
      <c r="A553" t="s">
        <v>75</v>
      </c>
      <c r="B553" t="s">
        <v>98</v>
      </c>
      <c r="C553" t="s">
        <v>619</v>
      </c>
      <c r="D553" t="s">
        <v>25</v>
      </c>
      <c r="E553" t="s">
        <v>26</v>
      </c>
      <c r="F553" t="s">
        <v>30</v>
      </c>
      <c r="G553" t="s">
        <v>620</v>
      </c>
      <c r="H553">
        <v>2</v>
      </c>
      <c r="I553">
        <v>2</v>
      </c>
      <c r="J553" t="s">
        <v>853</v>
      </c>
      <c r="K553">
        <f>IF(AND(H553=OFICIAL!F34,I553=OFICIAL!G34), 5, 0)</f>
        <v>0</v>
      </c>
    </row>
    <row r="554" spans="1:11" x14ac:dyDescent="0.25">
      <c r="A554" t="s">
        <v>75</v>
      </c>
      <c r="B554" t="s">
        <v>98</v>
      </c>
      <c r="C554" t="s">
        <v>623</v>
      </c>
      <c r="D554" t="s">
        <v>22</v>
      </c>
      <c r="E554" t="s">
        <v>23</v>
      </c>
      <c r="F554" t="s">
        <v>28</v>
      </c>
      <c r="G554" t="s">
        <v>624</v>
      </c>
      <c r="H554">
        <v>3</v>
      </c>
      <c r="I554">
        <v>0</v>
      </c>
      <c r="J554" t="s">
        <v>852</v>
      </c>
      <c r="K554">
        <f>IF(AND(H554=OFICIAL!F35,I554=OFICIAL!G35), 5, 0)</f>
        <v>0</v>
      </c>
    </row>
    <row r="555" spans="1:11" x14ac:dyDescent="0.25">
      <c r="A555" t="s">
        <v>75</v>
      </c>
      <c r="B555" t="s">
        <v>98</v>
      </c>
      <c r="C555" t="s">
        <v>625</v>
      </c>
      <c r="D555" t="s">
        <v>22</v>
      </c>
      <c r="E555" t="s">
        <v>24</v>
      </c>
      <c r="F555" t="s">
        <v>29</v>
      </c>
      <c r="G555" t="s">
        <v>626</v>
      </c>
      <c r="H555">
        <v>1</v>
      </c>
      <c r="I555">
        <v>3</v>
      </c>
      <c r="J555" t="s">
        <v>852</v>
      </c>
      <c r="K555">
        <f>IF(AND(H555=OFICIAL!F36,I555=OFICIAL!G36), 5, 0)</f>
        <v>0</v>
      </c>
    </row>
    <row r="556" spans="1:11" x14ac:dyDescent="0.25">
      <c r="A556" t="s">
        <v>75</v>
      </c>
      <c r="B556" t="s">
        <v>98</v>
      </c>
      <c r="C556" t="s">
        <v>627</v>
      </c>
      <c r="D556" t="s">
        <v>25</v>
      </c>
      <c r="E556" t="s">
        <v>27</v>
      </c>
      <c r="F556" t="s">
        <v>31</v>
      </c>
      <c r="G556" t="s">
        <v>628</v>
      </c>
      <c r="H556">
        <v>2</v>
      </c>
      <c r="I556">
        <v>0</v>
      </c>
      <c r="J556" t="s">
        <v>853</v>
      </c>
      <c r="K556">
        <f>IF(AND(H556=OFICIAL!F37,I556=OFICIAL!G37), 5, 0)</f>
        <v>0</v>
      </c>
    </row>
    <row r="557" spans="1:11" x14ac:dyDescent="0.25">
      <c r="A557" t="s">
        <v>75</v>
      </c>
      <c r="B557" t="s">
        <v>98</v>
      </c>
      <c r="C557" t="s">
        <v>629</v>
      </c>
      <c r="D557" t="s">
        <v>32</v>
      </c>
      <c r="E557" t="s">
        <v>33</v>
      </c>
      <c r="F557" t="s">
        <v>38</v>
      </c>
      <c r="G557" t="s">
        <v>630</v>
      </c>
      <c r="H557">
        <v>2</v>
      </c>
      <c r="I557">
        <v>1</v>
      </c>
      <c r="J557" t="s">
        <v>854</v>
      </c>
      <c r="K557">
        <f>IF(AND(H557=OFICIAL!F38,I557=OFICIAL!G38), 5, 0)</f>
        <v>0</v>
      </c>
    </row>
    <row r="558" spans="1:11" x14ac:dyDescent="0.25">
      <c r="A558" t="s">
        <v>75</v>
      </c>
      <c r="B558" t="s">
        <v>98</v>
      </c>
      <c r="C558" t="s">
        <v>631</v>
      </c>
      <c r="D558" t="s">
        <v>35</v>
      </c>
      <c r="E558" t="s">
        <v>36</v>
      </c>
      <c r="F558" t="s">
        <v>40</v>
      </c>
      <c r="G558" t="s">
        <v>632</v>
      </c>
      <c r="H558">
        <v>2</v>
      </c>
      <c r="I558">
        <v>0</v>
      </c>
      <c r="J558" t="s">
        <v>855</v>
      </c>
      <c r="K558">
        <f>IF(AND(H558=OFICIAL!F39,I558=OFICIAL!G39), 5, 0)</f>
        <v>0</v>
      </c>
    </row>
    <row r="559" spans="1:11" x14ac:dyDescent="0.25">
      <c r="A559" t="s">
        <v>75</v>
      </c>
      <c r="B559" t="s">
        <v>98</v>
      </c>
      <c r="C559" s="4" t="s">
        <v>633</v>
      </c>
      <c r="D559" t="s">
        <v>32</v>
      </c>
      <c r="E559" t="s">
        <v>34</v>
      </c>
      <c r="F559" t="s">
        <v>39</v>
      </c>
      <c r="G559" t="s">
        <v>634</v>
      </c>
      <c r="H559">
        <v>1</v>
      </c>
      <c r="I559">
        <v>2</v>
      </c>
      <c r="J559" t="s">
        <v>854</v>
      </c>
      <c r="K559">
        <f>IF(AND(H559=OFICIAL!F40,I559=OFICIAL!G40), 5, 0)</f>
        <v>0</v>
      </c>
    </row>
    <row r="560" spans="1:11" x14ac:dyDescent="0.25">
      <c r="A560" t="s">
        <v>75</v>
      </c>
      <c r="B560" t="s">
        <v>98</v>
      </c>
      <c r="C560" t="s">
        <v>635</v>
      </c>
      <c r="D560" t="s">
        <v>35</v>
      </c>
      <c r="E560" t="s">
        <v>37</v>
      </c>
      <c r="F560" t="s">
        <v>41</v>
      </c>
      <c r="G560" t="s">
        <v>636</v>
      </c>
      <c r="H560">
        <v>2</v>
      </c>
      <c r="I560">
        <v>0</v>
      </c>
      <c r="J560" t="s">
        <v>855</v>
      </c>
      <c r="K560">
        <f>IF(AND(H560=OFICIAL!F41,I560=OFICIAL!G41), 5, 0)</f>
        <v>0</v>
      </c>
    </row>
    <row r="561" spans="1:11" x14ac:dyDescent="0.25">
      <c r="A561" t="s">
        <v>75</v>
      </c>
      <c r="B561" t="s">
        <v>98</v>
      </c>
      <c r="C561" s="4" t="s">
        <v>637</v>
      </c>
      <c r="D561" t="s">
        <v>47</v>
      </c>
      <c r="E561" t="s">
        <v>48</v>
      </c>
      <c r="F561" t="s">
        <v>50</v>
      </c>
      <c r="G561" t="s">
        <v>638</v>
      </c>
      <c r="H561">
        <v>2</v>
      </c>
      <c r="I561">
        <v>1</v>
      </c>
      <c r="J561" t="s">
        <v>857</v>
      </c>
      <c r="K561">
        <f>IF(AND(H561=OFICIAL!F42,I561=OFICIAL!G42), 5, 0)</f>
        <v>0</v>
      </c>
    </row>
    <row r="562" spans="1:11" x14ac:dyDescent="0.25">
      <c r="A562" t="s">
        <v>75</v>
      </c>
      <c r="B562" t="s">
        <v>98</v>
      </c>
      <c r="C562" t="s">
        <v>639</v>
      </c>
      <c r="D562" t="s">
        <v>42</v>
      </c>
      <c r="E562" t="s">
        <v>43</v>
      </c>
      <c r="F562" t="s">
        <v>45</v>
      </c>
      <c r="G562" t="s">
        <v>640</v>
      </c>
      <c r="H562">
        <v>2</v>
      </c>
      <c r="I562">
        <v>0</v>
      </c>
      <c r="J562" t="s">
        <v>856</v>
      </c>
      <c r="K562">
        <f>IF(AND(H562=OFICIAL!F43,I562=OFICIAL!G43), 5, 0)</f>
        <v>0</v>
      </c>
    </row>
    <row r="563" spans="1:11" x14ac:dyDescent="0.25">
      <c r="A563" t="s">
        <v>75</v>
      </c>
      <c r="B563" t="s">
        <v>98</v>
      </c>
      <c r="C563" t="s">
        <v>641</v>
      </c>
      <c r="D563" t="s">
        <v>42</v>
      </c>
      <c r="E563" t="s">
        <v>44</v>
      </c>
      <c r="F563" t="s">
        <v>46</v>
      </c>
      <c r="G563" t="s">
        <v>642</v>
      </c>
      <c r="H563">
        <v>1</v>
      </c>
      <c r="I563">
        <v>2</v>
      </c>
      <c r="J563" t="s">
        <v>856</v>
      </c>
      <c r="K563">
        <f>IF(AND(H563=OFICIAL!F44,I563=OFICIAL!G44), 5, 0)</f>
        <v>0</v>
      </c>
    </row>
    <row r="564" spans="1:11" x14ac:dyDescent="0.25">
      <c r="A564" t="s">
        <v>75</v>
      </c>
      <c r="B564" t="s">
        <v>98</v>
      </c>
      <c r="C564" t="s">
        <v>643</v>
      </c>
      <c r="D564" t="s">
        <v>47</v>
      </c>
      <c r="E564" t="s">
        <v>49</v>
      </c>
      <c r="F564" t="s">
        <v>51</v>
      </c>
      <c r="G564" t="s">
        <v>644</v>
      </c>
      <c r="H564">
        <v>2</v>
      </c>
      <c r="I564">
        <v>1</v>
      </c>
      <c r="J564" t="s">
        <v>857</v>
      </c>
      <c r="K564">
        <f>IF(AND(H564=OFICIAL!F45,I564=OFICIAL!G45), 5, 0)</f>
        <v>5</v>
      </c>
    </row>
    <row r="565" spans="1:11" x14ac:dyDescent="0.25">
      <c r="A565" t="s">
        <v>75</v>
      </c>
      <c r="B565" t="s">
        <v>98</v>
      </c>
      <c r="C565" t="s">
        <v>645</v>
      </c>
      <c r="D565" t="s">
        <v>52</v>
      </c>
      <c r="E565" t="s">
        <v>53</v>
      </c>
      <c r="F565" t="s">
        <v>60</v>
      </c>
      <c r="G565" t="s">
        <v>646</v>
      </c>
      <c r="H565">
        <v>2</v>
      </c>
      <c r="I565">
        <v>0</v>
      </c>
      <c r="J565" t="s">
        <v>858</v>
      </c>
      <c r="K565">
        <f>IF(AND(H565=OFICIAL!F46,I565=OFICIAL!G46), 5, 0)</f>
        <v>0</v>
      </c>
    </row>
    <row r="566" spans="1:11" x14ac:dyDescent="0.25">
      <c r="A566" t="s">
        <v>75</v>
      </c>
      <c r="B566" t="s">
        <v>98</v>
      </c>
      <c r="C566" t="s">
        <v>647</v>
      </c>
      <c r="D566" t="s">
        <v>55</v>
      </c>
      <c r="E566" t="s">
        <v>56</v>
      </c>
      <c r="F566" t="s">
        <v>58</v>
      </c>
      <c r="G566" t="s">
        <v>648</v>
      </c>
      <c r="H566">
        <v>2</v>
      </c>
      <c r="I566">
        <v>0</v>
      </c>
      <c r="J566" t="s">
        <v>859</v>
      </c>
      <c r="K566">
        <f>IF(AND(H566=OFICIAL!F47,I566=OFICIAL!G47), 5, 0)</f>
        <v>0</v>
      </c>
    </row>
    <row r="567" spans="1:11" x14ac:dyDescent="0.25">
      <c r="A567" t="s">
        <v>75</v>
      </c>
      <c r="B567" t="s">
        <v>98</v>
      </c>
      <c r="C567" t="s">
        <v>649</v>
      </c>
      <c r="D567" t="s">
        <v>55</v>
      </c>
      <c r="E567" t="s">
        <v>57</v>
      </c>
      <c r="F567" t="s">
        <v>59</v>
      </c>
      <c r="G567" t="s">
        <v>650</v>
      </c>
      <c r="H567">
        <v>2</v>
      </c>
      <c r="I567">
        <v>1</v>
      </c>
      <c r="J567" t="s">
        <v>859</v>
      </c>
      <c r="K567">
        <f>IF(AND(H567=OFICIAL!F48,I567=OFICIAL!G48), 5, 0)</f>
        <v>0</v>
      </c>
    </row>
    <row r="568" spans="1:11" x14ac:dyDescent="0.25">
      <c r="A568" t="s">
        <v>75</v>
      </c>
      <c r="B568" t="s">
        <v>98</v>
      </c>
      <c r="C568" t="s">
        <v>651</v>
      </c>
      <c r="D568" t="s">
        <v>52</v>
      </c>
      <c r="E568" t="s">
        <v>54</v>
      </c>
      <c r="F568" t="s">
        <v>61</v>
      </c>
      <c r="G568" t="s">
        <v>652</v>
      </c>
      <c r="H568">
        <v>1</v>
      </c>
      <c r="I568">
        <v>3</v>
      </c>
      <c r="J568" t="s">
        <v>858</v>
      </c>
      <c r="K568">
        <f>IF(AND(H568=OFICIAL!F49,I568=OFICIAL!G49), 5, 0)</f>
        <v>0</v>
      </c>
    </row>
    <row r="569" spans="1:11" x14ac:dyDescent="0.25">
      <c r="A569" t="s">
        <v>75</v>
      </c>
      <c r="B569" t="s">
        <v>98</v>
      </c>
      <c r="C569" t="s">
        <v>655</v>
      </c>
      <c r="D569" t="s">
        <v>7</v>
      </c>
      <c r="E569" t="s">
        <v>9</v>
      </c>
      <c r="F569" t="s">
        <v>13</v>
      </c>
      <c r="G569" t="s">
        <v>654</v>
      </c>
      <c r="H569">
        <v>4</v>
      </c>
      <c r="I569">
        <v>0</v>
      </c>
      <c r="J569" t="s">
        <v>849</v>
      </c>
      <c r="K569">
        <f>IF(AND(H569=OFICIAL!F50,I569=OFICIAL!G50), 5, 0)</f>
        <v>0</v>
      </c>
    </row>
    <row r="570" spans="1:11" x14ac:dyDescent="0.25">
      <c r="A570" t="s">
        <v>75</v>
      </c>
      <c r="B570" t="s">
        <v>98</v>
      </c>
      <c r="C570" t="s">
        <v>653</v>
      </c>
      <c r="D570" t="s">
        <v>7</v>
      </c>
      <c r="E570" t="s">
        <v>14</v>
      </c>
      <c r="F570" t="s">
        <v>8</v>
      </c>
      <c r="G570" t="s">
        <v>654</v>
      </c>
      <c r="H570">
        <v>2</v>
      </c>
      <c r="I570">
        <v>1</v>
      </c>
      <c r="J570" t="s">
        <v>849</v>
      </c>
      <c r="K570">
        <f>IF(AND(H570=OFICIAL!F51,I570=OFICIAL!G51), 5, 0)</f>
        <v>0</v>
      </c>
    </row>
    <row r="571" spans="1:11" x14ac:dyDescent="0.25">
      <c r="A571" t="s">
        <v>75</v>
      </c>
      <c r="B571" t="s">
        <v>98</v>
      </c>
      <c r="C571" t="s">
        <v>658</v>
      </c>
      <c r="D571" t="s">
        <v>15</v>
      </c>
      <c r="E571" t="s">
        <v>17</v>
      </c>
      <c r="F571" t="s">
        <v>18</v>
      </c>
      <c r="G571" t="s">
        <v>657</v>
      </c>
      <c r="H571">
        <v>2</v>
      </c>
      <c r="I571">
        <v>0</v>
      </c>
      <c r="J571" t="s">
        <v>851</v>
      </c>
      <c r="K571">
        <f>IF(AND(H571=OFICIAL!F52,I571=OFICIAL!G52), 5, 0)</f>
        <v>0</v>
      </c>
    </row>
    <row r="572" spans="1:11" x14ac:dyDescent="0.25">
      <c r="A572" t="s">
        <v>75</v>
      </c>
      <c r="B572" t="s">
        <v>98</v>
      </c>
      <c r="C572" t="s">
        <v>656</v>
      </c>
      <c r="D572" t="s">
        <v>15</v>
      </c>
      <c r="E572" t="s">
        <v>19</v>
      </c>
      <c r="F572" t="s">
        <v>16</v>
      </c>
      <c r="G572" t="s">
        <v>657</v>
      </c>
      <c r="H572">
        <v>1</v>
      </c>
      <c r="I572">
        <v>3</v>
      </c>
      <c r="J572" t="s">
        <v>851</v>
      </c>
      <c r="K572">
        <f>IF(AND(H572=OFICIAL!F53,I572=OFICIAL!G53), 5, 0)</f>
        <v>0</v>
      </c>
    </row>
    <row r="573" spans="1:11" x14ac:dyDescent="0.25">
      <c r="A573" t="s">
        <v>75</v>
      </c>
      <c r="B573" t="s">
        <v>98</v>
      </c>
      <c r="C573" t="s">
        <v>661</v>
      </c>
      <c r="D573" t="s">
        <v>2</v>
      </c>
      <c r="E573" t="s">
        <v>6</v>
      </c>
      <c r="F573" t="s">
        <v>3</v>
      </c>
      <c r="G573" t="s">
        <v>660</v>
      </c>
      <c r="H573">
        <v>1</v>
      </c>
      <c r="I573">
        <v>3</v>
      </c>
      <c r="J573" t="s">
        <v>848</v>
      </c>
      <c r="K573">
        <f>IF(AND(H573=OFICIAL!F54,I573=OFICIAL!G54), 5, 0)</f>
        <v>0</v>
      </c>
    </row>
    <row r="574" spans="1:11" x14ac:dyDescent="0.25">
      <c r="A574" t="s">
        <v>75</v>
      </c>
      <c r="B574" t="s">
        <v>98</v>
      </c>
      <c r="C574" t="s">
        <v>659</v>
      </c>
      <c r="D574" t="s">
        <v>2</v>
      </c>
      <c r="E574" t="s">
        <v>5</v>
      </c>
      <c r="F574" t="s">
        <v>4</v>
      </c>
      <c r="G574" t="s">
        <v>660</v>
      </c>
      <c r="H574">
        <v>1</v>
      </c>
      <c r="I574">
        <v>1</v>
      </c>
      <c r="J574" t="s">
        <v>848</v>
      </c>
      <c r="K574">
        <f>IF(AND(H574=OFICIAL!F55,I574=OFICIAL!G55), 5, 0)</f>
        <v>0</v>
      </c>
    </row>
    <row r="575" spans="1:11" x14ac:dyDescent="0.25">
      <c r="A575" t="s">
        <v>75</v>
      </c>
      <c r="B575" t="s">
        <v>98</v>
      </c>
      <c r="C575" t="s">
        <v>662</v>
      </c>
      <c r="D575" t="s">
        <v>22</v>
      </c>
      <c r="E575" t="s">
        <v>29</v>
      </c>
      <c r="F575" t="s">
        <v>23</v>
      </c>
      <c r="G575" t="s">
        <v>663</v>
      </c>
      <c r="H575">
        <v>2</v>
      </c>
      <c r="I575">
        <v>2</v>
      </c>
      <c r="J575" t="s">
        <v>852</v>
      </c>
      <c r="K575">
        <f>IF(AND(H575=OFICIAL!F56,I575=OFICIAL!G56), 5, 0)</f>
        <v>0</v>
      </c>
    </row>
    <row r="576" spans="1:11" x14ac:dyDescent="0.25">
      <c r="A576" t="s">
        <v>75</v>
      </c>
      <c r="B576" t="s">
        <v>98</v>
      </c>
      <c r="C576" t="s">
        <v>664</v>
      </c>
      <c r="D576" t="s">
        <v>22</v>
      </c>
      <c r="E576" t="s">
        <v>24</v>
      </c>
      <c r="F576" t="s">
        <v>28</v>
      </c>
      <c r="G576" t="s">
        <v>663</v>
      </c>
      <c r="H576">
        <v>1</v>
      </c>
      <c r="I576">
        <v>1</v>
      </c>
      <c r="J576" t="s">
        <v>852</v>
      </c>
      <c r="K576">
        <f>IF(AND(H576=OFICIAL!F57,I576=OFICIAL!G57), 5, 0)</f>
        <v>0</v>
      </c>
    </row>
    <row r="577" spans="1:11" x14ac:dyDescent="0.25">
      <c r="A577" t="s">
        <v>75</v>
      </c>
      <c r="B577" t="s">
        <v>98</v>
      </c>
      <c r="C577" t="s">
        <v>665</v>
      </c>
      <c r="D577" t="s">
        <v>25</v>
      </c>
      <c r="E577" t="s">
        <v>27</v>
      </c>
      <c r="F577" t="s">
        <v>30</v>
      </c>
      <c r="G577" t="s">
        <v>666</v>
      </c>
      <c r="H577">
        <v>1</v>
      </c>
      <c r="I577">
        <v>1</v>
      </c>
      <c r="J577" t="s">
        <v>853</v>
      </c>
      <c r="K577">
        <f>IF(AND(H577=OFICIAL!F58,I577=OFICIAL!G58), 5, 0)</f>
        <v>0</v>
      </c>
    </row>
    <row r="578" spans="1:11" x14ac:dyDescent="0.25">
      <c r="A578" t="s">
        <v>75</v>
      </c>
      <c r="B578" t="s">
        <v>98</v>
      </c>
      <c r="C578" t="s">
        <v>667</v>
      </c>
      <c r="D578" t="s">
        <v>25</v>
      </c>
      <c r="E578" t="s">
        <v>31</v>
      </c>
      <c r="F578" t="s">
        <v>26</v>
      </c>
      <c r="G578" t="s">
        <v>666</v>
      </c>
      <c r="H578">
        <v>0</v>
      </c>
      <c r="I578">
        <v>3</v>
      </c>
      <c r="J578" t="s">
        <v>853</v>
      </c>
      <c r="K578">
        <f>IF(AND(H578=OFICIAL!F59,I578=OFICIAL!G59), 5, 0)</f>
        <v>0</v>
      </c>
    </row>
    <row r="579" spans="1:11" x14ac:dyDescent="0.25">
      <c r="A579" t="s">
        <v>75</v>
      </c>
      <c r="B579" t="s">
        <v>98</v>
      </c>
      <c r="C579" t="s">
        <v>668</v>
      </c>
      <c r="D579" t="s">
        <v>10</v>
      </c>
      <c r="E579" t="s">
        <v>21</v>
      </c>
      <c r="F579" t="s">
        <v>11</v>
      </c>
      <c r="G579" t="s">
        <v>669</v>
      </c>
      <c r="H579">
        <v>1</v>
      </c>
      <c r="I579">
        <v>1</v>
      </c>
      <c r="J579" t="s">
        <v>850</v>
      </c>
      <c r="K579">
        <f>IF(AND(H579=OFICIAL!F60,I579=OFICIAL!G60), 5, 0)</f>
        <v>0</v>
      </c>
    </row>
    <row r="580" spans="1:11" x14ac:dyDescent="0.25">
      <c r="A580" t="s">
        <v>75</v>
      </c>
      <c r="B580" t="s">
        <v>98</v>
      </c>
      <c r="C580" t="s">
        <v>670</v>
      </c>
      <c r="D580" t="s">
        <v>10</v>
      </c>
      <c r="E580" t="s">
        <v>12</v>
      </c>
      <c r="F580" t="s">
        <v>20</v>
      </c>
      <c r="G580" t="s">
        <v>669</v>
      </c>
      <c r="H580">
        <v>1</v>
      </c>
      <c r="I580">
        <v>0</v>
      </c>
      <c r="J580" t="s">
        <v>850</v>
      </c>
      <c r="K580">
        <f>IF(AND(H580=OFICIAL!F61,I580=OFICIAL!G61), 5, 0)</f>
        <v>0</v>
      </c>
    </row>
    <row r="581" spans="1:11" x14ac:dyDescent="0.25">
      <c r="A581" t="s">
        <v>75</v>
      </c>
      <c r="B581" t="s">
        <v>98</v>
      </c>
      <c r="C581" t="s">
        <v>673</v>
      </c>
      <c r="D581" t="s">
        <v>42</v>
      </c>
      <c r="E581" t="s">
        <v>44</v>
      </c>
      <c r="F581" t="s">
        <v>45</v>
      </c>
      <c r="G581" t="s">
        <v>672</v>
      </c>
      <c r="H581">
        <v>1</v>
      </c>
      <c r="I581">
        <v>1</v>
      </c>
      <c r="J581" t="s">
        <v>856</v>
      </c>
      <c r="K581">
        <f>IF(AND(H581=OFICIAL!F62,I581=OFICIAL!G62), 5, 0)</f>
        <v>0</v>
      </c>
    </row>
    <row r="582" spans="1:11" x14ac:dyDescent="0.25">
      <c r="A582" t="s">
        <v>75</v>
      </c>
      <c r="B582" t="s">
        <v>98</v>
      </c>
      <c r="C582" t="s">
        <v>671</v>
      </c>
      <c r="D582" t="s">
        <v>42</v>
      </c>
      <c r="E582" t="s">
        <v>46</v>
      </c>
      <c r="F582" t="s">
        <v>43</v>
      </c>
      <c r="G582" t="s">
        <v>672</v>
      </c>
      <c r="H582">
        <v>1</v>
      </c>
      <c r="I582">
        <v>2</v>
      </c>
      <c r="J582" t="s">
        <v>856</v>
      </c>
      <c r="K582">
        <f>IF(AND(H582=OFICIAL!F63,I582=OFICIAL!G63), 5, 0)</f>
        <v>0</v>
      </c>
    </row>
    <row r="583" spans="1:11" x14ac:dyDescent="0.25">
      <c r="A583" t="s">
        <v>75</v>
      </c>
      <c r="B583" t="s">
        <v>98</v>
      </c>
      <c r="C583" t="s">
        <v>676</v>
      </c>
      <c r="D583" t="s">
        <v>32</v>
      </c>
      <c r="E583" t="s">
        <v>34</v>
      </c>
      <c r="F583" t="s">
        <v>38</v>
      </c>
      <c r="G583" t="s">
        <v>675</v>
      </c>
      <c r="H583">
        <v>1</v>
      </c>
      <c r="I583">
        <v>1</v>
      </c>
      <c r="J583" t="s">
        <v>854</v>
      </c>
      <c r="K583">
        <f>IF(AND(H583=OFICIAL!F64,I583=OFICIAL!G64), 5, 0)</f>
        <v>0</v>
      </c>
    </row>
    <row r="584" spans="1:11" x14ac:dyDescent="0.25">
      <c r="A584" t="s">
        <v>75</v>
      </c>
      <c r="B584" t="s">
        <v>98</v>
      </c>
      <c r="C584" t="s">
        <v>674</v>
      </c>
      <c r="D584" t="s">
        <v>32</v>
      </c>
      <c r="E584" t="s">
        <v>39</v>
      </c>
      <c r="F584" t="s">
        <v>33</v>
      </c>
      <c r="G584" t="s">
        <v>675</v>
      </c>
      <c r="H584">
        <v>2</v>
      </c>
      <c r="I584">
        <v>2</v>
      </c>
      <c r="J584" t="s">
        <v>854</v>
      </c>
      <c r="K584">
        <f>IF(AND(H584=OFICIAL!F65,I584=OFICIAL!G65), 5, 0)</f>
        <v>0</v>
      </c>
    </row>
    <row r="585" spans="1:11" x14ac:dyDescent="0.25">
      <c r="A585" t="s">
        <v>75</v>
      </c>
      <c r="B585" t="s">
        <v>98</v>
      </c>
      <c r="C585" t="s">
        <v>677</v>
      </c>
      <c r="D585" t="s">
        <v>35</v>
      </c>
      <c r="E585" t="s">
        <v>37</v>
      </c>
      <c r="F585" t="s">
        <v>40</v>
      </c>
      <c r="G585" t="s">
        <v>678</v>
      </c>
      <c r="H585">
        <v>2</v>
      </c>
      <c r="I585">
        <v>1</v>
      </c>
      <c r="J585" t="s">
        <v>855</v>
      </c>
      <c r="K585">
        <f>IF(AND(H585=OFICIAL!F66,I585=OFICIAL!G66), 5, 0)</f>
        <v>0</v>
      </c>
    </row>
    <row r="586" spans="1:11" x14ac:dyDescent="0.25">
      <c r="A586" t="s">
        <v>75</v>
      </c>
      <c r="B586" t="s">
        <v>98</v>
      </c>
      <c r="C586" t="s">
        <v>679</v>
      </c>
      <c r="D586" t="s">
        <v>35</v>
      </c>
      <c r="E586" t="s">
        <v>41</v>
      </c>
      <c r="F586" t="s">
        <v>36</v>
      </c>
      <c r="G586" t="s">
        <v>678</v>
      </c>
      <c r="H586">
        <v>1</v>
      </c>
      <c r="I586">
        <v>3</v>
      </c>
      <c r="J586" t="s">
        <v>855</v>
      </c>
      <c r="K586">
        <f>IF(AND(H586=OFICIAL!F67,I586=OFICIAL!G67), 5, 0)</f>
        <v>0</v>
      </c>
    </row>
    <row r="587" spans="1:11" x14ac:dyDescent="0.25">
      <c r="A587" t="s">
        <v>75</v>
      </c>
      <c r="B587" t="s">
        <v>98</v>
      </c>
      <c r="C587" t="s">
        <v>680</v>
      </c>
      <c r="D587" t="s">
        <v>55</v>
      </c>
      <c r="E587" t="s">
        <v>59</v>
      </c>
      <c r="F587" t="s">
        <v>56</v>
      </c>
      <c r="G587" t="s">
        <v>681</v>
      </c>
      <c r="H587">
        <v>1</v>
      </c>
      <c r="I587">
        <v>3</v>
      </c>
      <c r="J587" t="s">
        <v>859</v>
      </c>
      <c r="K587">
        <f>IF(AND(H587=OFICIAL!F68,I587=OFICIAL!G68), 5, 0)</f>
        <v>0</v>
      </c>
    </row>
    <row r="588" spans="1:11" x14ac:dyDescent="0.25">
      <c r="A588" t="s">
        <v>75</v>
      </c>
      <c r="B588" t="s">
        <v>98</v>
      </c>
      <c r="C588" t="s">
        <v>682</v>
      </c>
      <c r="D588" t="s">
        <v>55</v>
      </c>
      <c r="E588" t="s">
        <v>57</v>
      </c>
      <c r="F588" t="s">
        <v>58</v>
      </c>
      <c r="G588" t="s">
        <v>681</v>
      </c>
      <c r="H588">
        <v>2</v>
      </c>
      <c r="I588">
        <v>0</v>
      </c>
      <c r="J588" t="s">
        <v>859</v>
      </c>
      <c r="K588">
        <f>IF(AND(H588=OFICIAL!F69,I588=OFICIAL!G69), 5, 0)</f>
        <v>0</v>
      </c>
    </row>
    <row r="589" spans="1:11" x14ac:dyDescent="0.25">
      <c r="A589" t="s">
        <v>75</v>
      </c>
      <c r="B589" t="s">
        <v>98</v>
      </c>
      <c r="C589" t="s">
        <v>685</v>
      </c>
      <c r="D589" t="s">
        <v>52</v>
      </c>
      <c r="E589" t="s">
        <v>61</v>
      </c>
      <c r="F589" t="s">
        <v>53</v>
      </c>
      <c r="G589" t="s">
        <v>684</v>
      </c>
      <c r="H589">
        <v>2</v>
      </c>
      <c r="I589">
        <v>3</v>
      </c>
      <c r="J589" t="s">
        <v>858</v>
      </c>
      <c r="K589">
        <f>IF(AND(H589=OFICIAL!F70,I589=OFICIAL!G70), 5, 0)</f>
        <v>0</v>
      </c>
    </row>
    <row r="590" spans="1:11" x14ac:dyDescent="0.25">
      <c r="A590" t="s">
        <v>75</v>
      </c>
      <c r="B590" t="s">
        <v>98</v>
      </c>
      <c r="C590" t="s">
        <v>683</v>
      </c>
      <c r="D590" t="s">
        <v>52</v>
      </c>
      <c r="E590" t="s">
        <v>54</v>
      </c>
      <c r="F590" t="s">
        <v>60</v>
      </c>
      <c r="G590" t="s">
        <v>684</v>
      </c>
      <c r="H590">
        <v>2</v>
      </c>
      <c r="I590">
        <v>1</v>
      </c>
      <c r="J590" t="s">
        <v>858</v>
      </c>
      <c r="K590">
        <f>IF(AND(H590=OFICIAL!F71,I590=OFICIAL!G71), 5, 0)</f>
        <v>0</v>
      </c>
    </row>
    <row r="591" spans="1:11" x14ac:dyDescent="0.25">
      <c r="A591" t="s">
        <v>75</v>
      </c>
      <c r="B591" t="s">
        <v>98</v>
      </c>
      <c r="C591" s="4" t="s">
        <v>688</v>
      </c>
      <c r="D591" t="s">
        <v>47</v>
      </c>
      <c r="E591" t="s">
        <v>51</v>
      </c>
      <c r="F591" t="s">
        <v>48</v>
      </c>
      <c r="G591" t="s">
        <v>687</v>
      </c>
      <c r="H591">
        <v>1</v>
      </c>
      <c r="I591">
        <v>3</v>
      </c>
      <c r="J591" t="s">
        <v>857</v>
      </c>
      <c r="K591">
        <f>IF(AND(H591=OFICIAL!F72,I591=OFICIAL!G72), 5, 0)</f>
        <v>0</v>
      </c>
    </row>
    <row r="592" spans="1:11" x14ac:dyDescent="0.25">
      <c r="A592" t="s">
        <v>75</v>
      </c>
      <c r="B592" t="s">
        <v>98</v>
      </c>
      <c r="C592" t="s">
        <v>686</v>
      </c>
      <c r="D592" t="s">
        <v>47</v>
      </c>
      <c r="E592" t="s">
        <v>49</v>
      </c>
      <c r="F592" t="s">
        <v>50</v>
      </c>
      <c r="G592" t="s">
        <v>687</v>
      </c>
      <c r="H592">
        <v>1</v>
      </c>
      <c r="I592">
        <v>2</v>
      </c>
      <c r="J592" t="s">
        <v>857</v>
      </c>
      <c r="K592">
        <f>IF(AND(H592=OFICIAL!F73,I592=OFICIAL!G73), 5, 0)</f>
        <v>0</v>
      </c>
    </row>
    <row r="594" spans="1:12" ht="18" customHeight="1" thickBot="1" x14ac:dyDescent="0.3">
      <c r="A594" s="23" t="s">
        <v>76</v>
      </c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</row>
    <row r="595" spans="1:12" ht="15.75" thickBot="1" x14ac:dyDescent="0.3">
      <c r="A595" t="s">
        <v>77</v>
      </c>
      <c r="B595" t="s">
        <v>99</v>
      </c>
      <c r="C595" t="s">
        <v>554</v>
      </c>
      <c r="D595" t="s">
        <v>2</v>
      </c>
      <c r="E595" t="s">
        <v>3</v>
      </c>
      <c r="F595" t="s">
        <v>4</v>
      </c>
      <c r="G595" t="s">
        <v>555</v>
      </c>
      <c r="H595">
        <v>3</v>
      </c>
      <c r="I595">
        <v>0</v>
      </c>
      <c r="J595" t="s">
        <v>860</v>
      </c>
      <c r="K595">
        <f>IF(AND(H595=OFICIAL!F2,I595=OFICIAL!G2), 5, 0)</f>
        <v>0</v>
      </c>
      <c r="L595" s="6">
        <f>SUM(K595:K666)</f>
        <v>15</v>
      </c>
    </row>
    <row r="596" spans="1:12" x14ac:dyDescent="0.25">
      <c r="A596" t="s">
        <v>77</v>
      </c>
      <c r="B596" t="s">
        <v>99</v>
      </c>
      <c r="C596" t="s">
        <v>557</v>
      </c>
      <c r="D596" t="s">
        <v>2</v>
      </c>
      <c r="E596" t="s">
        <v>5</v>
      </c>
      <c r="F596" t="s">
        <v>6</v>
      </c>
      <c r="G596" t="s">
        <v>558</v>
      </c>
      <c r="H596">
        <v>1</v>
      </c>
      <c r="I596">
        <v>1</v>
      </c>
      <c r="J596" t="s">
        <v>860</v>
      </c>
      <c r="K596">
        <f>IF(AND(H596=OFICIAL!F3,I596=OFICIAL!G3), 5, 0)</f>
        <v>0</v>
      </c>
    </row>
    <row r="597" spans="1:12" x14ac:dyDescent="0.25">
      <c r="A597" t="s">
        <v>77</v>
      </c>
      <c r="B597" t="s">
        <v>99</v>
      </c>
      <c r="C597" t="s">
        <v>559</v>
      </c>
      <c r="D597" t="s">
        <v>7</v>
      </c>
      <c r="E597" t="s">
        <v>8</v>
      </c>
      <c r="F597" t="s">
        <v>9</v>
      </c>
      <c r="G597" t="s">
        <v>560</v>
      </c>
      <c r="H597">
        <v>3</v>
      </c>
      <c r="I597">
        <v>0</v>
      </c>
      <c r="J597" t="s">
        <v>861</v>
      </c>
      <c r="K597">
        <f>IF(AND(H597=OFICIAL!F4,I597=OFICIAL!G4), 5, 0)</f>
        <v>0</v>
      </c>
    </row>
    <row r="598" spans="1:12" x14ac:dyDescent="0.25">
      <c r="A598" t="s">
        <v>77</v>
      </c>
      <c r="B598" t="s">
        <v>99</v>
      </c>
      <c r="C598" t="s">
        <v>561</v>
      </c>
      <c r="D598" t="s">
        <v>10</v>
      </c>
      <c r="E598" t="s">
        <v>11</v>
      </c>
      <c r="F598" t="s">
        <v>12</v>
      </c>
      <c r="G598" t="s">
        <v>562</v>
      </c>
      <c r="H598">
        <v>1</v>
      </c>
      <c r="I598">
        <v>1</v>
      </c>
      <c r="J598" t="s">
        <v>862</v>
      </c>
      <c r="K598">
        <f>IF(AND(H598=OFICIAL!F5,I598=OFICIAL!G5), 5, 0)</f>
        <v>0</v>
      </c>
    </row>
    <row r="599" spans="1:12" x14ac:dyDescent="0.25">
      <c r="A599" t="s">
        <v>77</v>
      </c>
      <c r="B599" t="s">
        <v>99</v>
      </c>
      <c r="C599" t="s">
        <v>563</v>
      </c>
      <c r="D599" t="s">
        <v>7</v>
      </c>
      <c r="E599" t="s">
        <v>13</v>
      </c>
      <c r="F599" t="s">
        <v>14</v>
      </c>
      <c r="G599" t="s">
        <v>564</v>
      </c>
      <c r="H599">
        <v>0</v>
      </c>
      <c r="I599">
        <v>2</v>
      </c>
      <c r="J599" t="s">
        <v>861</v>
      </c>
      <c r="K599">
        <f>IF(AND(H599=OFICIAL!F6,I599=OFICIAL!G6), 5, 0)</f>
        <v>0</v>
      </c>
    </row>
    <row r="600" spans="1:12" x14ac:dyDescent="0.25">
      <c r="A600" t="s">
        <v>77</v>
      </c>
      <c r="B600" t="s">
        <v>99</v>
      </c>
      <c r="C600" t="s">
        <v>565</v>
      </c>
      <c r="D600" t="s">
        <v>15</v>
      </c>
      <c r="E600" t="s">
        <v>16</v>
      </c>
      <c r="F600" t="s">
        <v>17</v>
      </c>
      <c r="G600" t="s">
        <v>566</v>
      </c>
      <c r="H600">
        <v>3</v>
      </c>
      <c r="I600">
        <v>1</v>
      </c>
      <c r="J600" t="s">
        <v>863</v>
      </c>
      <c r="K600">
        <f>IF(AND(H600=OFICIAL!F7,I600=OFICIAL!G7), 5, 0)</f>
        <v>0</v>
      </c>
    </row>
    <row r="601" spans="1:12" x14ac:dyDescent="0.25">
      <c r="A601" t="s">
        <v>77</v>
      </c>
      <c r="B601" t="s">
        <v>99</v>
      </c>
      <c r="C601" t="s">
        <v>567</v>
      </c>
      <c r="D601" t="s">
        <v>15</v>
      </c>
      <c r="E601" t="s">
        <v>18</v>
      </c>
      <c r="F601" t="s">
        <v>19</v>
      </c>
      <c r="G601" t="s">
        <v>568</v>
      </c>
      <c r="H601">
        <v>1</v>
      </c>
      <c r="I601">
        <v>1</v>
      </c>
      <c r="J601" t="s">
        <v>863</v>
      </c>
      <c r="K601">
        <f>IF(AND(H601=OFICIAL!F8,I601=OFICIAL!G8), 5, 0)</f>
        <v>0</v>
      </c>
    </row>
    <row r="602" spans="1:12" x14ac:dyDescent="0.25">
      <c r="A602" t="s">
        <v>77</v>
      </c>
      <c r="B602" t="s">
        <v>99</v>
      </c>
      <c r="C602" t="s">
        <v>569</v>
      </c>
      <c r="D602" t="s">
        <v>10</v>
      </c>
      <c r="E602" t="s">
        <v>20</v>
      </c>
      <c r="F602" t="s">
        <v>21</v>
      </c>
      <c r="G602" t="s">
        <v>570</v>
      </c>
      <c r="H602">
        <v>1</v>
      </c>
      <c r="I602">
        <v>2</v>
      </c>
      <c r="J602" t="s">
        <v>862</v>
      </c>
      <c r="K602">
        <f>IF(AND(H602=OFICIAL!F9,I602=OFICIAL!G9), 5, 0)</f>
        <v>0</v>
      </c>
    </row>
    <row r="603" spans="1:12" x14ac:dyDescent="0.25">
      <c r="A603" t="s">
        <v>77</v>
      </c>
      <c r="B603" t="s">
        <v>99</v>
      </c>
      <c r="C603" t="s">
        <v>571</v>
      </c>
      <c r="D603" t="s">
        <v>22</v>
      </c>
      <c r="E603" t="s">
        <v>23</v>
      </c>
      <c r="F603" t="s">
        <v>24</v>
      </c>
      <c r="G603" t="s">
        <v>572</v>
      </c>
      <c r="H603">
        <v>3</v>
      </c>
      <c r="I603">
        <v>0</v>
      </c>
      <c r="J603" t="s">
        <v>864</v>
      </c>
      <c r="K603">
        <f>IF(AND(H603=OFICIAL!F10,I603=OFICIAL!G10), 5, 0)</f>
        <v>0</v>
      </c>
    </row>
    <row r="604" spans="1:12" x14ac:dyDescent="0.25">
      <c r="A604" t="s">
        <v>77</v>
      </c>
      <c r="B604" t="s">
        <v>99</v>
      </c>
      <c r="C604" t="s">
        <v>573</v>
      </c>
      <c r="D604" t="s">
        <v>25</v>
      </c>
      <c r="E604" t="s">
        <v>26</v>
      </c>
      <c r="F604" t="s">
        <v>27</v>
      </c>
      <c r="G604" t="s">
        <v>574</v>
      </c>
      <c r="H604">
        <v>1</v>
      </c>
      <c r="I604">
        <v>1</v>
      </c>
      <c r="J604" t="s">
        <v>865</v>
      </c>
      <c r="K604">
        <f>IF(AND(H604=OFICIAL!F11,I604=OFICIAL!G11), 5, 0)</f>
        <v>0</v>
      </c>
    </row>
    <row r="605" spans="1:12" x14ac:dyDescent="0.25">
      <c r="A605" t="s">
        <v>77</v>
      </c>
      <c r="B605" t="s">
        <v>99</v>
      </c>
      <c r="C605" t="s">
        <v>575</v>
      </c>
      <c r="D605" t="s">
        <v>22</v>
      </c>
      <c r="E605" t="s">
        <v>28</v>
      </c>
      <c r="F605" t="s">
        <v>29</v>
      </c>
      <c r="G605" t="s">
        <v>576</v>
      </c>
      <c r="H605">
        <v>1</v>
      </c>
      <c r="I605">
        <v>1</v>
      </c>
      <c r="J605" t="s">
        <v>864</v>
      </c>
      <c r="K605">
        <f>IF(AND(H605=OFICIAL!F12,I605=OFICIAL!G12), 5, 0)</f>
        <v>0</v>
      </c>
    </row>
    <row r="606" spans="1:12" x14ac:dyDescent="0.25">
      <c r="A606" t="s">
        <v>77</v>
      </c>
      <c r="B606" t="s">
        <v>99</v>
      </c>
      <c r="C606" t="s">
        <v>577</v>
      </c>
      <c r="D606" t="s">
        <v>25</v>
      </c>
      <c r="E606" t="s">
        <v>30</v>
      </c>
      <c r="F606" t="s">
        <v>31</v>
      </c>
      <c r="G606" t="s">
        <v>578</v>
      </c>
      <c r="H606">
        <v>3</v>
      </c>
      <c r="I606">
        <v>0</v>
      </c>
      <c r="J606" t="s">
        <v>865</v>
      </c>
      <c r="K606">
        <f>IF(AND(H606=OFICIAL!F13,I606=OFICIAL!G13), 5, 0)</f>
        <v>0</v>
      </c>
    </row>
    <row r="607" spans="1:12" x14ac:dyDescent="0.25">
      <c r="A607" t="s">
        <v>77</v>
      </c>
      <c r="B607" t="s">
        <v>99</v>
      </c>
      <c r="C607" t="s">
        <v>579</v>
      </c>
      <c r="D607" t="s">
        <v>32</v>
      </c>
      <c r="E607" t="s">
        <v>33</v>
      </c>
      <c r="F607" t="s">
        <v>34</v>
      </c>
      <c r="G607" t="s">
        <v>580</v>
      </c>
      <c r="H607">
        <v>4</v>
      </c>
      <c r="I607">
        <v>0</v>
      </c>
      <c r="J607" t="s">
        <v>866</v>
      </c>
      <c r="K607">
        <f>IF(AND(H607=OFICIAL!F14,I607=OFICIAL!G14), 5, 0)</f>
        <v>0</v>
      </c>
    </row>
    <row r="608" spans="1:12" x14ac:dyDescent="0.25">
      <c r="A608" t="s">
        <v>77</v>
      </c>
      <c r="B608" t="s">
        <v>99</v>
      </c>
      <c r="C608" t="s">
        <v>581</v>
      </c>
      <c r="D608" t="s">
        <v>35</v>
      </c>
      <c r="E608" t="s">
        <v>36</v>
      </c>
      <c r="F608" t="s">
        <v>37</v>
      </c>
      <c r="G608" t="s">
        <v>582</v>
      </c>
      <c r="H608">
        <v>3</v>
      </c>
      <c r="I608">
        <v>1</v>
      </c>
      <c r="J608" t="s">
        <v>867</v>
      </c>
      <c r="K608">
        <f>IF(AND(H608=OFICIAL!F15,I608=OFICIAL!G15), 5, 0)</f>
        <v>0</v>
      </c>
    </row>
    <row r="609" spans="1:11" x14ac:dyDescent="0.25">
      <c r="A609" t="s">
        <v>77</v>
      </c>
      <c r="B609" t="s">
        <v>99</v>
      </c>
      <c r="C609" t="s">
        <v>583</v>
      </c>
      <c r="D609" t="s">
        <v>32</v>
      </c>
      <c r="E609" t="s">
        <v>38</v>
      </c>
      <c r="F609" t="s">
        <v>39</v>
      </c>
      <c r="G609" t="s">
        <v>584</v>
      </c>
      <c r="H609">
        <v>0</v>
      </c>
      <c r="I609">
        <v>1</v>
      </c>
      <c r="J609" t="s">
        <v>866</v>
      </c>
      <c r="K609">
        <f>IF(AND(H609=OFICIAL!F16,I609=OFICIAL!G16), 5, 0)</f>
        <v>0</v>
      </c>
    </row>
    <row r="610" spans="1:11" x14ac:dyDescent="0.25">
      <c r="A610" t="s">
        <v>77</v>
      </c>
      <c r="B610" t="s">
        <v>99</v>
      </c>
      <c r="C610" t="s">
        <v>585</v>
      </c>
      <c r="D610" t="s">
        <v>35</v>
      </c>
      <c r="E610" t="s">
        <v>40</v>
      </c>
      <c r="F610" t="s">
        <v>41</v>
      </c>
      <c r="G610" t="s">
        <v>586</v>
      </c>
      <c r="H610">
        <v>0</v>
      </c>
      <c r="I610">
        <v>0</v>
      </c>
      <c r="J610" t="s">
        <v>867</v>
      </c>
      <c r="K610">
        <f>IF(AND(H610=OFICIAL!F17,I610=OFICIAL!G17), 5, 0)</f>
        <v>0</v>
      </c>
    </row>
    <row r="611" spans="1:11" x14ac:dyDescent="0.25">
      <c r="A611" t="s">
        <v>77</v>
      </c>
      <c r="B611" t="s">
        <v>99</v>
      </c>
      <c r="C611" t="s">
        <v>587</v>
      </c>
      <c r="D611" t="s">
        <v>42</v>
      </c>
      <c r="E611" t="s">
        <v>43</v>
      </c>
      <c r="F611" t="s">
        <v>44</v>
      </c>
      <c r="G611" t="s">
        <v>588</v>
      </c>
      <c r="H611">
        <v>1</v>
      </c>
      <c r="I611">
        <v>1</v>
      </c>
      <c r="J611" t="s">
        <v>868</v>
      </c>
      <c r="K611">
        <f>IF(AND(H611=OFICIAL!F18,I611=OFICIAL!G18), 5, 0)</f>
        <v>0</v>
      </c>
    </row>
    <row r="612" spans="1:11" x14ac:dyDescent="0.25">
      <c r="A612" t="s">
        <v>77</v>
      </c>
      <c r="B612" t="s">
        <v>99</v>
      </c>
      <c r="C612" t="s">
        <v>589</v>
      </c>
      <c r="D612" t="s">
        <v>42</v>
      </c>
      <c r="E612" t="s">
        <v>45</v>
      </c>
      <c r="F612" t="s">
        <v>46</v>
      </c>
      <c r="G612" t="s">
        <v>590</v>
      </c>
      <c r="H612">
        <v>0</v>
      </c>
      <c r="I612">
        <v>3</v>
      </c>
      <c r="J612" t="s">
        <v>868</v>
      </c>
      <c r="K612">
        <f>IF(AND(H612=OFICIAL!F19,I612=OFICIAL!G19), 5, 0)</f>
        <v>0</v>
      </c>
    </row>
    <row r="613" spans="1:11" x14ac:dyDescent="0.25">
      <c r="A613" t="s">
        <v>77</v>
      </c>
      <c r="B613" t="s">
        <v>99</v>
      </c>
      <c r="C613" t="s">
        <v>591</v>
      </c>
      <c r="D613" t="s">
        <v>47</v>
      </c>
      <c r="E613" t="s">
        <v>48</v>
      </c>
      <c r="F613" t="s">
        <v>49</v>
      </c>
      <c r="G613" t="s">
        <v>592</v>
      </c>
      <c r="H613">
        <v>4</v>
      </c>
      <c r="I613">
        <v>0</v>
      </c>
      <c r="J613" t="s">
        <v>869</v>
      </c>
      <c r="K613">
        <f>IF(AND(H613=OFICIAL!F20,I613=OFICIAL!G20), 5, 0)</f>
        <v>0</v>
      </c>
    </row>
    <row r="614" spans="1:11" x14ac:dyDescent="0.25">
      <c r="A614" t="s">
        <v>77</v>
      </c>
      <c r="B614" t="s">
        <v>99</v>
      </c>
      <c r="C614" t="s">
        <v>593</v>
      </c>
      <c r="D614" t="s">
        <v>47</v>
      </c>
      <c r="E614" t="s">
        <v>50</v>
      </c>
      <c r="F614" t="s">
        <v>51</v>
      </c>
      <c r="G614" t="s">
        <v>594</v>
      </c>
      <c r="H614">
        <v>1</v>
      </c>
      <c r="I614">
        <v>0</v>
      </c>
      <c r="J614" t="s">
        <v>869</v>
      </c>
      <c r="K614">
        <f>IF(AND(H614=OFICIAL!F21,I614=OFICIAL!G21), 5, 0)</f>
        <v>0</v>
      </c>
    </row>
    <row r="615" spans="1:11" x14ac:dyDescent="0.25">
      <c r="A615" t="s">
        <v>77</v>
      </c>
      <c r="B615" t="s">
        <v>99</v>
      </c>
      <c r="C615" t="s">
        <v>595</v>
      </c>
      <c r="D615" t="s">
        <v>52</v>
      </c>
      <c r="E615" t="s">
        <v>53</v>
      </c>
      <c r="F615" t="s">
        <v>54</v>
      </c>
      <c r="G615" t="s">
        <v>596</v>
      </c>
      <c r="H615">
        <v>2</v>
      </c>
      <c r="I615">
        <v>0</v>
      </c>
      <c r="J615" t="s">
        <v>870</v>
      </c>
      <c r="K615">
        <f>IF(AND(H615=OFICIAL!F22,I615=OFICIAL!G22), 5, 0)</f>
        <v>0</v>
      </c>
    </row>
    <row r="616" spans="1:11" x14ac:dyDescent="0.25">
      <c r="A616" t="s">
        <v>77</v>
      </c>
      <c r="B616" t="s">
        <v>99</v>
      </c>
      <c r="C616" t="s">
        <v>597</v>
      </c>
      <c r="D616" t="s">
        <v>55</v>
      </c>
      <c r="E616" t="s">
        <v>56</v>
      </c>
      <c r="F616" t="s">
        <v>57</v>
      </c>
      <c r="G616" t="s">
        <v>598</v>
      </c>
      <c r="H616">
        <v>2</v>
      </c>
      <c r="I616">
        <v>1</v>
      </c>
      <c r="J616" t="s">
        <v>871</v>
      </c>
      <c r="K616">
        <f>IF(AND(H616=OFICIAL!F23,I616=OFICIAL!G23), 5, 0)</f>
        <v>0</v>
      </c>
    </row>
    <row r="617" spans="1:11" x14ac:dyDescent="0.25">
      <c r="A617" t="s">
        <v>77</v>
      </c>
      <c r="B617" t="s">
        <v>99</v>
      </c>
      <c r="C617" t="s">
        <v>599</v>
      </c>
      <c r="D617" t="s">
        <v>55</v>
      </c>
      <c r="E617" t="s">
        <v>58</v>
      </c>
      <c r="F617" t="s">
        <v>59</v>
      </c>
      <c r="G617" t="s">
        <v>600</v>
      </c>
      <c r="H617">
        <v>0</v>
      </c>
      <c r="I617">
        <v>1</v>
      </c>
      <c r="J617" t="s">
        <v>871</v>
      </c>
      <c r="K617">
        <f>IF(AND(H617=OFICIAL!F24,I617=OFICIAL!G24), 5, 0)</f>
        <v>0</v>
      </c>
    </row>
    <row r="618" spans="1:11" x14ac:dyDescent="0.25">
      <c r="A618" t="s">
        <v>77</v>
      </c>
      <c r="B618" t="s">
        <v>99</v>
      </c>
      <c r="C618" t="s">
        <v>601</v>
      </c>
      <c r="D618" t="s">
        <v>52</v>
      </c>
      <c r="E618" t="s">
        <v>60</v>
      </c>
      <c r="F618" t="s">
        <v>61</v>
      </c>
      <c r="G618" t="s">
        <v>602</v>
      </c>
      <c r="H618">
        <v>0</v>
      </c>
      <c r="I618">
        <v>2</v>
      </c>
      <c r="J618" t="s">
        <v>870</v>
      </c>
      <c r="K618">
        <f>IF(AND(H618=OFICIAL!F25,I618=OFICIAL!G25), 5, 0)</f>
        <v>0</v>
      </c>
    </row>
    <row r="619" spans="1:11" x14ac:dyDescent="0.25">
      <c r="A619" t="s">
        <v>77</v>
      </c>
      <c r="B619" t="s">
        <v>99</v>
      </c>
      <c r="C619" t="s">
        <v>603</v>
      </c>
      <c r="D619" t="s">
        <v>2</v>
      </c>
      <c r="E619" t="s">
        <v>4</v>
      </c>
      <c r="F619" t="s">
        <v>6</v>
      </c>
      <c r="G619" t="s">
        <v>604</v>
      </c>
      <c r="H619">
        <v>0</v>
      </c>
      <c r="I619">
        <v>2</v>
      </c>
      <c r="J619" t="s">
        <v>860</v>
      </c>
      <c r="K619">
        <f>IF(AND(H619=OFICIAL!F26,I619=OFICIAL!G26), 5, 0)</f>
        <v>0</v>
      </c>
    </row>
    <row r="620" spans="1:11" x14ac:dyDescent="0.25">
      <c r="A620" t="s">
        <v>77</v>
      </c>
      <c r="B620" t="s">
        <v>99</v>
      </c>
      <c r="C620" t="s">
        <v>605</v>
      </c>
      <c r="D620" t="s">
        <v>7</v>
      </c>
      <c r="E620" t="s">
        <v>9</v>
      </c>
      <c r="F620" t="s">
        <v>14</v>
      </c>
      <c r="G620" t="s">
        <v>606</v>
      </c>
      <c r="H620">
        <v>0</v>
      </c>
      <c r="I620">
        <v>3</v>
      </c>
      <c r="J620" t="s">
        <v>861</v>
      </c>
      <c r="K620">
        <f>IF(AND(H620=OFICIAL!F27,I620=OFICIAL!G27), 5, 0)</f>
        <v>0</v>
      </c>
    </row>
    <row r="621" spans="1:11" x14ac:dyDescent="0.25">
      <c r="A621" t="s">
        <v>77</v>
      </c>
      <c r="B621" t="s">
        <v>99</v>
      </c>
      <c r="C621" t="s">
        <v>607</v>
      </c>
      <c r="D621" t="s">
        <v>7</v>
      </c>
      <c r="E621" t="s">
        <v>8</v>
      </c>
      <c r="F621" t="s">
        <v>13</v>
      </c>
      <c r="G621" t="s">
        <v>608</v>
      </c>
      <c r="H621">
        <v>1</v>
      </c>
      <c r="I621">
        <v>0</v>
      </c>
      <c r="J621" t="s">
        <v>861</v>
      </c>
      <c r="K621">
        <f>IF(AND(H621=OFICIAL!F28,I621=OFICIAL!G28), 5, 0)</f>
        <v>0</v>
      </c>
    </row>
    <row r="622" spans="1:11" x14ac:dyDescent="0.25">
      <c r="A622" t="s">
        <v>77</v>
      </c>
      <c r="B622" t="s">
        <v>99</v>
      </c>
      <c r="C622" t="s">
        <v>609</v>
      </c>
      <c r="D622" t="s">
        <v>2</v>
      </c>
      <c r="E622" t="s">
        <v>3</v>
      </c>
      <c r="F622" t="s">
        <v>5</v>
      </c>
      <c r="G622" t="s">
        <v>610</v>
      </c>
      <c r="H622">
        <v>2</v>
      </c>
      <c r="I622">
        <v>1</v>
      </c>
      <c r="J622" t="s">
        <v>860</v>
      </c>
      <c r="K622">
        <f>IF(AND(H622=OFICIAL!F29,I622=OFICIAL!G29), 5, 0)</f>
        <v>0</v>
      </c>
    </row>
    <row r="623" spans="1:11" x14ac:dyDescent="0.25">
      <c r="A623" t="s">
        <v>77</v>
      </c>
      <c r="B623" t="s">
        <v>99</v>
      </c>
      <c r="C623" t="s">
        <v>611</v>
      </c>
      <c r="D623" t="s">
        <v>10</v>
      </c>
      <c r="E623" t="s">
        <v>11</v>
      </c>
      <c r="F623" t="s">
        <v>20</v>
      </c>
      <c r="G623" t="s">
        <v>612</v>
      </c>
      <c r="H623">
        <v>2</v>
      </c>
      <c r="I623">
        <v>0</v>
      </c>
      <c r="J623" t="s">
        <v>862</v>
      </c>
      <c r="K623">
        <f>IF(AND(H623=OFICIAL!F30,I623=OFICIAL!G30), 5, 0)</f>
        <v>5</v>
      </c>
    </row>
    <row r="624" spans="1:11" x14ac:dyDescent="0.25">
      <c r="A624" t="s">
        <v>77</v>
      </c>
      <c r="B624" t="s">
        <v>99</v>
      </c>
      <c r="C624" t="s">
        <v>613</v>
      </c>
      <c r="D624" t="s">
        <v>15</v>
      </c>
      <c r="E624" t="s">
        <v>17</v>
      </c>
      <c r="F624" t="s">
        <v>19</v>
      </c>
      <c r="G624" t="s">
        <v>614</v>
      </c>
      <c r="H624">
        <v>2</v>
      </c>
      <c r="I624">
        <v>0</v>
      </c>
      <c r="J624" t="s">
        <v>863</v>
      </c>
      <c r="K624">
        <f>IF(AND(H624=OFICIAL!F31,I624=OFICIAL!G31), 5, 0)</f>
        <v>0</v>
      </c>
    </row>
    <row r="625" spans="1:11" x14ac:dyDescent="0.25">
      <c r="A625" t="s">
        <v>77</v>
      </c>
      <c r="B625" t="s">
        <v>99</v>
      </c>
      <c r="C625" t="s">
        <v>615</v>
      </c>
      <c r="D625" t="s">
        <v>15</v>
      </c>
      <c r="E625" t="s">
        <v>16</v>
      </c>
      <c r="F625" t="s">
        <v>18</v>
      </c>
      <c r="G625" t="s">
        <v>616</v>
      </c>
      <c r="H625">
        <v>3</v>
      </c>
      <c r="I625">
        <v>0</v>
      </c>
      <c r="J625" t="s">
        <v>863</v>
      </c>
      <c r="K625">
        <f>IF(AND(H625=OFICIAL!F32,I625=OFICIAL!G32), 5, 0)</f>
        <v>5</v>
      </c>
    </row>
    <row r="626" spans="1:11" x14ac:dyDescent="0.25">
      <c r="A626" t="s">
        <v>77</v>
      </c>
      <c r="B626" t="s">
        <v>99</v>
      </c>
      <c r="C626" t="s">
        <v>617</v>
      </c>
      <c r="D626" t="s">
        <v>10</v>
      </c>
      <c r="E626" t="s">
        <v>12</v>
      </c>
      <c r="F626" t="s">
        <v>21</v>
      </c>
      <c r="G626" t="s">
        <v>618</v>
      </c>
      <c r="H626">
        <v>1</v>
      </c>
      <c r="I626">
        <v>3</v>
      </c>
      <c r="J626" t="s">
        <v>862</v>
      </c>
      <c r="K626">
        <f>IF(AND(H626=OFICIAL!F33,I626=OFICIAL!G33), 5, 0)</f>
        <v>0</v>
      </c>
    </row>
    <row r="627" spans="1:11" x14ac:dyDescent="0.25">
      <c r="A627" t="s">
        <v>77</v>
      </c>
      <c r="B627" t="s">
        <v>99</v>
      </c>
      <c r="C627" t="s">
        <v>619</v>
      </c>
      <c r="D627" t="s">
        <v>25</v>
      </c>
      <c r="E627" t="s">
        <v>26</v>
      </c>
      <c r="F627" t="s">
        <v>30</v>
      </c>
      <c r="G627" t="s">
        <v>620</v>
      </c>
      <c r="H627">
        <v>2</v>
      </c>
      <c r="I627">
        <v>0</v>
      </c>
      <c r="J627" t="s">
        <v>865</v>
      </c>
      <c r="K627">
        <f>IF(AND(H627=OFICIAL!F34,I627=OFICIAL!G34), 5, 0)</f>
        <v>0</v>
      </c>
    </row>
    <row r="628" spans="1:11" x14ac:dyDescent="0.25">
      <c r="A628" t="s">
        <v>77</v>
      </c>
      <c r="B628" t="s">
        <v>99</v>
      </c>
      <c r="C628" t="s">
        <v>623</v>
      </c>
      <c r="D628" t="s">
        <v>22</v>
      </c>
      <c r="E628" t="s">
        <v>23</v>
      </c>
      <c r="F628" t="s">
        <v>28</v>
      </c>
      <c r="G628" t="s">
        <v>624</v>
      </c>
      <c r="H628">
        <v>2</v>
      </c>
      <c r="I628">
        <v>0</v>
      </c>
      <c r="J628" t="s">
        <v>864</v>
      </c>
      <c r="K628">
        <f>IF(AND(H628=OFICIAL!F35,I628=OFICIAL!G35), 5, 0)</f>
        <v>0</v>
      </c>
    </row>
    <row r="629" spans="1:11" x14ac:dyDescent="0.25">
      <c r="A629" t="s">
        <v>77</v>
      </c>
      <c r="B629" t="s">
        <v>99</v>
      </c>
      <c r="C629" t="s">
        <v>625</v>
      </c>
      <c r="D629" t="s">
        <v>22</v>
      </c>
      <c r="E629" t="s">
        <v>24</v>
      </c>
      <c r="F629" t="s">
        <v>29</v>
      </c>
      <c r="G629" t="s">
        <v>626</v>
      </c>
      <c r="H629">
        <v>0</v>
      </c>
      <c r="I629">
        <v>2</v>
      </c>
      <c r="J629" t="s">
        <v>864</v>
      </c>
      <c r="K629">
        <f>IF(AND(H629=OFICIAL!F36,I629=OFICIAL!G36), 5, 0)</f>
        <v>0</v>
      </c>
    </row>
    <row r="630" spans="1:11" x14ac:dyDescent="0.25">
      <c r="A630" t="s">
        <v>77</v>
      </c>
      <c r="B630" t="s">
        <v>99</v>
      </c>
      <c r="C630" t="s">
        <v>627</v>
      </c>
      <c r="D630" t="s">
        <v>25</v>
      </c>
      <c r="E630" t="s">
        <v>27</v>
      </c>
      <c r="F630" t="s">
        <v>31</v>
      </c>
      <c r="G630" t="s">
        <v>628</v>
      </c>
      <c r="H630">
        <v>3</v>
      </c>
      <c r="I630">
        <v>0</v>
      </c>
      <c r="J630" t="s">
        <v>865</v>
      </c>
      <c r="K630">
        <f>IF(AND(H630=OFICIAL!F37,I630=OFICIAL!G37), 5, 0)</f>
        <v>0</v>
      </c>
    </row>
    <row r="631" spans="1:11" x14ac:dyDescent="0.25">
      <c r="A631" t="s">
        <v>77</v>
      </c>
      <c r="B631" t="s">
        <v>99</v>
      </c>
      <c r="C631" t="s">
        <v>629</v>
      </c>
      <c r="D631" t="s">
        <v>32</v>
      </c>
      <c r="E631" t="s">
        <v>33</v>
      </c>
      <c r="F631" t="s">
        <v>38</v>
      </c>
      <c r="G631" t="s">
        <v>630</v>
      </c>
      <c r="H631">
        <v>3</v>
      </c>
      <c r="I631">
        <v>1</v>
      </c>
      <c r="J631" t="s">
        <v>866</v>
      </c>
      <c r="K631">
        <f>IF(AND(H631=OFICIAL!F38,I631=OFICIAL!G38), 5, 0)</f>
        <v>0</v>
      </c>
    </row>
    <row r="632" spans="1:11" x14ac:dyDescent="0.25">
      <c r="A632" t="s">
        <v>77</v>
      </c>
      <c r="B632" t="s">
        <v>99</v>
      </c>
      <c r="C632" t="s">
        <v>631</v>
      </c>
      <c r="D632" t="s">
        <v>35</v>
      </c>
      <c r="E632" t="s">
        <v>36</v>
      </c>
      <c r="F632" t="s">
        <v>40</v>
      </c>
      <c r="G632" t="s">
        <v>632</v>
      </c>
      <c r="H632">
        <v>2</v>
      </c>
      <c r="I632">
        <v>0</v>
      </c>
      <c r="J632" t="s">
        <v>867</v>
      </c>
      <c r="K632">
        <f>IF(AND(H632=OFICIAL!F39,I632=OFICIAL!G39), 5, 0)</f>
        <v>0</v>
      </c>
    </row>
    <row r="633" spans="1:11" x14ac:dyDescent="0.25">
      <c r="A633" t="s">
        <v>77</v>
      </c>
      <c r="B633" t="s">
        <v>99</v>
      </c>
      <c r="C633" s="4" t="s">
        <v>633</v>
      </c>
      <c r="D633" t="s">
        <v>32</v>
      </c>
      <c r="E633" t="s">
        <v>34</v>
      </c>
      <c r="F633" t="s">
        <v>39</v>
      </c>
      <c r="G633" t="s">
        <v>634</v>
      </c>
      <c r="H633">
        <v>1</v>
      </c>
      <c r="I633">
        <v>3</v>
      </c>
      <c r="J633" t="s">
        <v>866</v>
      </c>
      <c r="K633">
        <f>IF(AND(H633=OFICIAL!F40,I633=OFICIAL!G40), 5, 0)</f>
        <v>0</v>
      </c>
    </row>
    <row r="634" spans="1:11" x14ac:dyDescent="0.25">
      <c r="A634" t="s">
        <v>77</v>
      </c>
      <c r="B634" t="s">
        <v>99</v>
      </c>
      <c r="C634" t="s">
        <v>635</v>
      </c>
      <c r="D634" t="s">
        <v>35</v>
      </c>
      <c r="E634" t="s">
        <v>37</v>
      </c>
      <c r="F634" t="s">
        <v>41</v>
      </c>
      <c r="G634" t="s">
        <v>636</v>
      </c>
      <c r="H634">
        <v>4</v>
      </c>
      <c r="I634">
        <v>1</v>
      </c>
      <c r="J634" t="s">
        <v>867</v>
      </c>
      <c r="K634">
        <f>IF(AND(H634=OFICIAL!F41,I634=OFICIAL!G41), 5, 0)</f>
        <v>0</v>
      </c>
    </row>
    <row r="635" spans="1:11" x14ac:dyDescent="0.25">
      <c r="A635" t="s">
        <v>77</v>
      </c>
      <c r="B635" t="s">
        <v>99</v>
      </c>
      <c r="C635" s="4" t="s">
        <v>637</v>
      </c>
      <c r="D635" t="s">
        <v>47</v>
      </c>
      <c r="E635" t="s">
        <v>48</v>
      </c>
      <c r="F635" t="s">
        <v>50</v>
      </c>
      <c r="G635" t="s">
        <v>638</v>
      </c>
      <c r="H635">
        <v>2</v>
      </c>
      <c r="I635">
        <v>1</v>
      </c>
      <c r="J635" t="s">
        <v>869</v>
      </c>
      <c r="K635">
        <f>IF(AND(H635=OFICIAL!F42,I635=OFICIAL!G42), 5, 0)</f>
        <v>0</v>
      </c>
    </row>
    <row r="636" spans="1:11" x14ac:dyDescent="0.25">
      <c r="A636" t="s">
        <v>77</v>
      </c>
      <c r="B636" t="s">
        <v>99</v>
      </c>
      <c r="C636" t="s">
        <v>639</v>
      </c>
      <c r="D636" t="s">
        <v>42</v>
      </c>
      <c r="E636" t="s">
        <v>43</v>
      </c>
      <c r="F636" t="s">
        <v>45</v>
      </c>
      <c r="G636" t="s">
        <v>640</v>
      </c>
      <c r="H636">
        <v>2</v>
      </c>
      <c r="I636">
        <v>0</v>
      </c>
      <c r="J636" t="s">
        <v>868</v>
      </c>
      <c r="K636">
        <f>IF(AND(H636=OFICIAL!F43,I636=OFICIAL!G43), 5, 0)</f>
        <v>0</v>
      </c>
    </row>
    <row r="637" spans="1:11" x14ac:dyDescent="0.25">
      <c r="A637" t="s">
        <v>77</v>
      </c>
      <c r="B637" t="s">
        <v>99</v>
      </c>
      <c r="C637" t="s">
        <v>641</v>
      </c>
      <c r="D637" t="s">
        <v>42</v>
      </c>
      <c r="E637" t="s">
        <v>44</v>
      </c>
      <c r="F637" t="s">
        <v>46</v>
      </c>
      <c r="G637" t="s">
        <v>642</v>
      </c>
      <c r="H637">
        <v>2</v>
      </c>
      <c r="I637">
        <v>1</v>
      </c>
      <c r="J637" t="s">
        <v>868</v>
      </c>
      <c r="K637">
        <f>IF(AND(H637=OFICIAL!F44,I637=OFICIAL!G44), 5, 0)</f>
        <v>0</v>
      </c>
    </row>
    <row r="638" spans="1:11" x14ac:dyDescent="0.25">
      <c r="A638" t="s">
        <v>77</v>
      </c>
      <c r="B638" t="s">
        <v>99</v>
      </c>
      <c r="C638" t="s">
        <v>643</v>
      </c>
      <c r="D638" t="s">
        <v>47</v>
      </c>
      <c r="E638" t="s">
        <v>49</v>
      </c>
      <c r="F638" t="s">
        <v>51</v>
      </c>
      <c r="G638" t="s">
        <v>644</v>
      </c>
      <c r="H638">
        <v>0</v>
      </c>
      <c r="I638">
        <v>0</v>
      </c>
      <c r="J638" t="s">
        <v>869</v>
      </c>
      <c r="K638">
        <f>IF(AND(H638=OFICIAL!F45,I638=OFICIAL!G45), 5, 0)</f>
        <v>0</v>
      </c>
    </row>
    <row r="639" spans="1:11" x14ac:dyDescent="0.25">
      <c r="A639" t="s">
        <v>77</v>
      </c>
      <c r="B639" t="s">
        <v>99</v>
      </c>
      <c r="C639" t="s">
        <v>645</v>
      </c>
      <c r="D639" t="s">
        <v>52</v>
      </c>
      <c r="E639" t="s">
        <v>53</v>
      </c>
      <c r="F639" t="s">
        <v>60</v>
      </c>
      <c r="G639" t="s">
        <v>646</v>
      </c>
      <c r="H639">
        <v>3</v>
      </c>
      <c r="I639">
        <v>0</v>
      </c>
      <c r="J639" t="s">
        <v>870</v>
      </c>
      <c r="K639">
        <f>IF(AND(H639=OFICIAL!F46,I639=OFICIAL!G46), 5, 0)</f>
        <v>0</v>
      </c>
    </row>
    <row r="640" spans="1:11" x14ac:dyDescent="0.25">
      <c r="A640" t="s">
        <v>77</v>
      </c>
      <c r="B640" t="s">
        <v>99</v>
      </c>
      <c r="C640" t="s">
        <v>647</v>
      </c>
      <c r="D640" t="s">
        <v>55</v>
      </c>
      <c r="E640" t="s">
        <v>56</v>
      </c>
      <c r="F640" t="s">
        <v>58</v>
      </c>
      <c r="G640" t="s">
        <v>648</v>
      </c>
      <c r="H640">
        <v>2</v>
      </c>
      <c r="I640">
        <v>0</v>
      </c>
      <c r="J640" t="s">
        <v>871</v>
      </c>
      <c r="K640">
        <f>IF(AND(H640=OFICIAL!F47,I640=OFICIAL!G47), 5, 0)</f>
        <v>0</v>
      </c>
    </row>
    <row r="641" spans="1:11" x14ac:dyDescent="0.25">
      <c r="A641" t="s">
        <v>77</v>
      </c>
      <c r="B641" t="s">
        <v>99</v>
      </c>
      <c r="C641" t="s">
        <v>649</v>
      </c>
      <c r="D641" t="s">
        <v>55</v>
      </c>
      <c r="E641" t="s">
        <v>57</v>
      </c>
      <c r="F641" t="s">
        <v>59</v>
      </c>
      <c r="G641" t="s">
        <v>650</v>
      </c>
      <c r="H641">
        <v>1</v>
      </c>
      <c r="I641">
        <v>1</v>
      </c>
      <c r="J641" t="s">
        <v>871</v>
      </c>
      <c r="K641">
        <f>IF(AND(H641=OFICIAL!F48,I641=OFICIAL!G48), 5, 0)</f>
        <v>0</v>
      </c>
    </row>
    <row r="642" spans="1:11" x14ac:dyDescent="0.25">
      <c r="A642" t="s">
        <v>77</v>
      </c>
      <c r="B642" t="s">
        <v>99</v>
      </c>
      <c r="C642" t="s">
        <v>651</v>
      </c>
      <c r="D642" t="s">
        <v>52</v>
      </c>
      <c r="E642" t="s">
        <v>54</v>
      </c>
      <c r="F642" t="s">
        <v>61</v>
      </c>
      <c r="G642" t="s">
        <v>652</v>
      </c>
      <c r="H642">
        <v>0</v>
      </c>
      <c r="I642">
        <v>1</v>
      </c>
      <c r="J642" t="s">
        <v>870</v>
      </c>
      <c r="K642">
        <f>IF(AND(H642=OFICIAL!F49,I642=OFICIAL!G49), 5, 0)</f>
        <v>5</v>
      </c>
    </row>
    <row r="643" spans="1:11" x14ac:dyDescent="0.25">
      <c r="A643" t="s">
        <v>77</v>
      </c>
      <c r="B643" t="s">
        <v>99</v>
      </c>
      <c r="C643" t="s">
        <v>655</v>
      </c>
      <c r="D643" t="s">
        <v>7</v>
      </c>
      <c r="E643" t="s">
        <v>9</v>
      </c>
      <c r="F643" t="s">
        <v>13</v>
      </c>
      <c r="G643" t="s">
        <v>654</v>
      </c>
      <c r="H643">
        <v>1</v>
      </c>
      <c r="I643">
        <v>1</v>
      </c>
      <c r="J643" t="s">
        <v>861</v>
      </c>
      <c r="K643">
        <f>IF(AND(H643=OFICIAL!F50,I643=OFICIAL!G50), 5, 0)</f>
        <v>0</v>
      </c>
    </row>
    <row r="644" spans="1:11" x14ac:dyDescent="0.25">
      <c r="A644" t="s">
        <v>77</v>
      </c>
      <c r="B644" t="s">
        <v>99</v>
      </c>
      <c r="C644" t="s">
        <v>653</v>
      </c>
      <c r="D644" t="s">
        <v>7</v>
      </c>
      <c r="E644" t="s">
        <v>14</v>
      </c>
      <c r="F644" t="s">
        <v>8</v>
      </c>
      <c r="G644" t="s">
        <v>654</v>
      </c>
      <c r="H644">
        <v>1</v>
      </c>
      <c r="I644">
        <v>1</v>
      </c>
      <c r="J644" t="s">
        <v>861</v>
      </c>
      <c r="K644">
        <f>IF(AND(H644=OFICIAL!F51,I644=OFICIAL!G51), 5, 0)</f>
        <v>0</v>
      </c>
    </row>
    <row r="645" spans="1:11" x14ac:dyDescent="0.25">
      <c r="A645" t="s">
        <v>77</v>
      </c>
      <c r="B645" t="s">
        <v>99</v>
      </c>
      <c r="C645" t="s">
        <v>656</v>
      </c>
      <c r="D645" t="s">
        <v>15</v>
      </c>
      <c r="E645" t="s">
        <v>19</v>
      </c>
      <c r="F645" t="s">
        <v>16</v>
      </c>
      <c r="G645" t="s">
        <v>657</v>
      </c>
      <c r="H645">
        <v>1</v>
      </c>
      <c r="I645">
        <v>2</v>
      </c>
      <c r="J645" t="s">
        <v>863</v>
      </c>
      <c r="K645">
        <f>IF(AND(H645=OFICIAL!F52,I645=OFICIAL!G52), 5, 0)</f>
        <v>0</v>
      </c>
    </row>
    <row r="646" spans="1:11" x14ac:dyDescent="0.25">
      <c r="A646" t="s">
        <v>77</v>
      </c>
      <c r="B646" t="s">
        <v>99</v>
      </c>
      <c r="C646" t="s">
        <v>658</v>
      </c>
      <c r="D646" t="s">
        <v>15</v>
      </c>
      <c r="E646" t="s">
        <v>17</v>
      </c>
      <c r="F646" t="s">
        <v>18</v>
      </c>
      <c r="G646" t="s">
        <v>657</v>
      </c>
      <c r="H646">
        <v>2</v>
      </c>
      <c r="I646">
        <v>0</v>
      </c>
      <c r="J646" t="s">
        <v>863</v>
      </c>
      <c r="K646">
        <f>IF(AND(H646=OFICIAL!F53,I646=OFICIAL!G53), 5, 0)</f>
        <v>0</v>
      </c>
    </row>
    <row r="647" spans="1:11" x14ac:dyDescent="0.25">
      <c r="A647" t="s">
        <v>77</v>
      </c>
      <c r="B647" t="s">
        <v>99</v>
      </c>
      <c r="C647" t="s">
        <v>659</v>
      </c>
      <c r="D647" t="s">
        <v>2</v>
      </c>
      <c r="E647" t="s">
        <v>5</v>
      </c>
      <c r="F647" t="s">
        <v>4</v>
      </c>
      <c r="G647" t="s">
        <v>660</v>
      </c>
      <c r="H647">
        <v>4</v>
      </c>
      <c r="I647">
        <v>0</v>
      </c>
      <c r="J647" t="s">
        <v>860</v>
      </c>
      <c r="K647">
        <f>IF(AND(H647=OFICIAL!F54,I647=OFICIAL!G54), 5, 0)</f>
        <v>0</v>
      </c>
    </row>
    <row r="648" spans="1:11" x14ac:dyDescent="0.25">
      <c r="A648" t="s">
        <v>77</v>
      </c>
      <c r="B648" t="s">
        <v>99</v>
      </c>
      <c r="C648" t="s">
        <v>661</v>
      </c>
      <c r="D648" t="s">
        <v>2</v>
      </c>
      <c r="E648" t="s">
        <v>6</v>
      </c>
      <c r="F648" t="s">
        <v>3</v>
      </c>
      <c r="G648" t="s">
        <v>660</v>
      </c>
      <c r="H648">
        <v>0</v>
      </c>
      <c r="I648">
        <v>2</v>
      </c>
      <c r="J648" t="s">
        <v>860</v>
      </c>
      <c r="K648">
        <f>IF(AND(H648=OFICIAL!F55,I648=OFICIAL!G55), 5, 0)</f>
        <v>0</v>
      </c>
    </row>
    <row r="649" spans="1:11" x14ac:dyDescent="0.25">
      <c r="A649" t="s">
        <v>77</v>
      </c>
      <c r="B649" t="s">
        <v>99</v>
      </c>
      <c r="C649" t="s">
        <v>664</v>
      </c>
      <c r="D649" t="s">
        <v>22</v>
      </c>
      <c r="E649" t="s">
        <v>24</v>
      </c>
      <c r="F649" t="s">
        <v>28</v>
      </c>
      <c r="G649" t="s">
        <v>663</v>
      </c>
      <c r="H649">
        <v>0</v>
      </c>
      <c r="I649">
        <v>0</v>
      </c>
      <c r="J649" t="s">
        <v>864</v>
      </c>
      <c r="K649">
        <f>IF(AND(H649=OFICIAL!F56,I649=OFICIAL!G56), 5, 0)</f>
        <v>0</v>
      </c>
    </row>
    <row r="650" spans="1:11" x14ac:dyDescent="0.25">
      <c r="A650" t="s">
        <v>77</v>
      </c>
      <c r="B650" t="s">
        <v>99</v>
      </c>
      <c r="C650" t="s">
        <v>662</v>
      </c>
      <c r="D650" t="s">
        <v>22</v>
      </c>
      <c r="E650" t="s">
        <v>29</v>
      </c>
      <c r="F650" t="s">
        <v>23</v>
      </c>
      <c r="G650" t="s">
        <v>663</v>
      </c>
      <c r="H650">
        <v>1</v>
      </c>
      <c r="I650">
        <v>3</v>
      </c>
      <c r="J650" t="s">
        <v>864</v>
      </c>
      <c r="K650">
        <f>IF(AND(H650=OFICIAL!F57,I650=OFICIAL!G57), 5, 0)</f>
        <v>0</v>
      </c>
    </row>
    <row r="651" spans="1:11" x14ac:dyDescent="0.25">
      <c r="A651" t="s">
        <v>77</v>
      </c>
      <c r="B651" t="s">
        <v>99</v>
      </c>
      <c r="C651" t="s">
        <v>665</v>
      </c>
      <c r="D651" t="s">
        <v>25</v>
      </c>
      <c r="E651" t="s">
        <v>27</v>
      </c>
      <c r="F651" t="s">
        <v>30</v>
      </c>
      <c r="G651" t="s">
        <v>666</v>
      </c>
      <c r="H651">
        <v>2</v>
      </c>
      <c r="I651">
        <v>1</v>
      </c>
      <c r="J651" t="s">
        <v>865</v>
      </c>
      <c r="K651">
        <f>IF(AND(H651=OFICIAL!F58,I651=OFICIAL!G58), 5, 0)</f>
        <v>0</v>
      </c>
    </row>
    <row r="652" spans="1:11" x14ac:dyDescent="0.25">
      <c r="A652" t="s">
        <v>77</v>
      </c>
      <c r="B652" t="s">
        <v>99</v>
      </c>
      <c r="C652" t="s">
        <v>667</v>
      </c>
      <c r="D652" t="s">
        <v>25</v>
      </c>
      <c r="E652" t="s">
        <v>31</v>
      </c>
      <c r="F652" t="s">
        <v>26</v>
      </c>
      <c r="G652" t="s">
        <v>666</v>
      </c>
      <c r="H652">
        <v>1</v>
      </c>
      <c r="I652">
        <v>2</v>
      </c>
      <c r="J652" t="s">
        <v>865</v>
      </c>
      <c r="K652">
        <f>IF(AND(H652=OFICIAL!F59,I652=OFICIAL!G59), 5, 0)</f>
        <v>0</v>
      </c>
    </row>
    <row r="653" spans="1:11" x14ac:dyDescent="0.25">
      <c r="A653" t="s">
        <v>77</v>
      </c>
      <c r="B653" t="s">
        <v>99</v>
      </c>
      <c r="C653" t="s">
        <v>670</v>
      </c>
      <c r="D653" t="s">
        <v>10</v>
      </c>
      <c r="E653" t="s">
        <v>12</v>
      </c>
      <c r="F653" t="s">
        <v>20</v>
      </c>
      <c r="G653" t="s">
        <v>669</v>
      </c>
      <c r="H653">
        <v>2</v>
      </c>
      <c r="I653">
        <v>0</v>
      </c>
      <c r="J653" t="s">
        <v>862</v>
      </c>
      <c r="K653">
        <f>IF(AND(H653=OFICIAL!F60,I653=OFICIAL!G60), 5, 0)</f>
        <v>0</v>
      </c>
    </row>
    <row r="654" spans="1:11" x14ac:dyDescent="0.25">
      <c r="A654" t="s">
        <v>77</v>
      </c>
      <c r="B654" t="s">
        <v>99</v>
      </c>
      <c r="C654" t="s">
        <v>668</v>
      </c>
      <c r="D654" t="s">
        <v>10</v>
      </c>
      <c r="E654" t="s">
        <v>21</v>
      </c>
      <c r="F654" t="s">
        <v>11</v>
      </c>
      <c r="G654" t="s">
        <v>669</v>
      </c>
      <c r="H654">
        <v>1</v>
      </c>
      <c r="I654">
        <v>2</v>
      </c>
      <c r="J654" t="s">
        <v>862</v>
      </c>
      <c r="K654">
        <f>IF(AND(H654=OFICIAL!F61,I654=OFICIAL!G61), 5, 0)</f>
        <v>0</v>
      </c>
    </row>
    <row r="655" spans="1:11" x14ac:dyDescent="0.25">
      <c r="A655" t="s">
        <v>77</v>
      </c>
      <c r="B655" t="s">
        <v>99</v>
      </c>
      <c r="C655" t="s">
        <v>673</v>
      </c>
      <c r="D655" t="s">
        <v>42</v>
      </c>
      <c r="E655" t="s">
        <v>44</v>
      </c>
      <c r="F655" t="s">
        <v>45</v>
      </c>
      <c r="G655" t="s">
        <v>672</v>
      </c>
      <c r="H655">
        <v>2</v>
      </c>
      <c r="I655">
        <v>1</v>
      </c>
      <c r="J655" t="s">
        <v>868</v>
      </c>
      <c r="K655">
        <f>IF(AND(H655=OFICIAL!F62,I655=OFICIAL!G62), 5, 0)</f>
        <v>0</v>
      </c>
    </row>
    <row r="656" spans="1:11" x14ac:dyDescent="0.25">
      <c r="A656" t="s">
        <v>77</v>
      </c>
      <c r="B656" t="s">
        <v>99</v>
      </c>
      <c r="C656" t="s">
        <v>671</v>
      </c>
      <c r="D656" t="s">
        <v>42</v>
      </c>
      <c r="E656" t="s">
        <v>46</v>
      </c>
      <c r="F656" t="s">
        <v>43</v>
      </c>
      <c r="G656" t="s">
        <v>672</v>
      </c>
      <c r="H656">
        <v>1</v>
      </c>
      <c r="I656">
        <v>3</v>
      </c>
      <c r="J656" t="s">
        <v>868</v>
      </c>
      <c r="K656">
        <f>IF(AND(H656=OFICIAL!F63,I656=OFICIAL!G63), 5, 0)</f>
        <v>0</v>
      </c>
    </row>
    <row r="657" spans="1:12" x14ac:dyDescent="0.25">
      <c r="A657" t="s">
        <v>77</v>
      </c>
      <c r="B657" t="s">
        <v>99</v>
      </c>
      <c r="C657" t="s">
        <v>676</v>
      </c>
      <c r="D657" t="s">
        <v>32</v>
      </c>
      <c r="E657" t="s">
        <v>34</v>
      </c>
      <c r="F657" t="s">
        <v>38</v>
      </c>
      <c r="G657" t="s">
        <v>675</v>
      </c>
      <c r="H657">
        <v>0</v>
      </c>
      <c r="I657">
        <v>0</v>
      </c>
      <c r="J657" t="s">
        <v>866</v>
      </c>
      <c r="K657">
        <f>IF(AND(H657=OFICIAL!F64,I657=OFICIAL!G64), 5, 0)</f>
        <v>0</v>
      </c>
    </row>
    <row r="658" spans="1:12" x14ac:dyDescent="0.25">
      <c r="A658" t="s">
        <v>77</v>
      </c>
      <c r="B658" t="s">
        <v>99</v>
      </c>
      <c r="C658" t="s">
        <v>674</v>
      </c>
      <c r="D658" t="s">
        <v>32</v>
      </c>
      <c r="E658" t="s">
        <v>39</v>
      </c>
      <c r="F658" t="s">
        <v>33</v>
      </c>
      <c r="G658" t="s">
        <v>675</v>
      </c>
      <c r="H658">
        <v>1</v>
      </c>
      <c r="I658">
        <v>2</v>
      </c>
      <c r="J658" t="s">
        <v>866</v>
      </c>
      <c r="K658">
        <f>IF(AND(H658=OFICIAL!F65,I658=OFICIAL!G65), 5, 0)</f>
        <v>0</v>
      </c>
    </row>
    <row r="659" spans="1:12" x14ac:dyDescent="0.25">
      <c r="A659" t="s">
        <v>77</v>
      </c>
      <c r="B659" t="s">
        <v>99</v>
      </c>
      <c r="C659" t="s">
        <v>679</v>
      </c>
      <c r="D659" t="s">
        <v>35</v>
      </c>
      <c r="E659" t="s">
        <v>41</v>
      </c>
      <c r="F659" t="s">
        <v>36</v>
      </c>
      <c r="G659" t="s">
        <v>678</v>
      </c>
      <c r="H659">
        <v>0</v>
      </c>
      <c r="I659">
        <v>2</v>
      </c>
      <c r="J659" t="s">
        <v>867</v>
      </c>
      <c r="K659">
        <f>IF(AND(H659=OFICIAL!F66,I659=OFICIAL!G66), 5, 0)</f>
        <v>0</v>
      </c>
    </row>
    <row r="660" spans="1:12" x14ac:dyDescent="0.25">
      <c r="A660" t="s">
        <v>77</v>
      </c>
      <c r="B660" t="s">
        <v>99</v>
      </c>
      <c r="C660" t="s">
        <v>677</v>
      </c>
      <c r="D660" t="s">
        <v>35</v>
      </c>
      <c r="E660" t="s">
        <v>37</v>
      </c>
      <c r="F660" t="s">
        <v>40</v>
      </c>
      <c r="G660" t="s">
        <v>678</v>
      </c>
      <c r="H660">
        <v>2</v>
      </c>
      <c r="I660">
        <v>1</v>
      </c>
      <c r="J660" t="s">
        <v>867</v>
      </c>
      <c r="K660">
        <f>IF(AND(H660=OFICIAL!F67,I660=OFICIAL!G67), 5, 0)</f>
        <v>0</v>
      </c>
    </row>
    <row r="661" spans="1:12" x14ac:dyDescent="0.25">
      <c r="A661" t="s">
        <v>77</v>
      </c>
      <c r="B661" t="s">
        <v>99</v>
      </c>
      <c r="C661" t="s">
        <v>680</v>
      </c>
      <c r="D661" t="s">
        <v>55</v>
      </c>
      <c r="E661" t="s">
        <v>59</v>
      </c>
      <c r="F661" t="s">
        <v>56</v>
      </c>
      <c r="G661" t="s">
        <v>681</v>
      </c>
      <c r="H661">
        <v>0</v>
      </c>
      <c r="I661">
        <v>3</v>
      </c>
      <c r="J661" t="s">
        <v>871</v>
      </c>
      <c r="K661">
        <f>IF(AND(H661=OFICIAL!F68,I661=OFICIAL!G68), 5, 0)</f>
        <v>0</v>
      </c>
    </row>
    <row r="662" spans="1:12" x14ac:dyDescent="0.25">
      <c r="A662" t="s">
        <v>77</v>
      </c>
      <c r="B662" t="s">
        <v>99</v>
      </c>
      <c r="C662" t="s">
        <v>682</v>
      </c>
      <c r="D662" t="s">
        <v>55</v>
      </c>
      <c r="E662" t="s">
        <v>57</v>
      </c>
      <c r="F662" t="s">
        <v>58</v>
      </c>
      <c r="G662" t="s">
        <v>681</v>
      </c>
      <c r="H662">
        <v>2</v>
      </c>
      <c r="I662">
        <v>0</v>
      </c>
      <c r="J662" t="s">
        <v>871</v>
      </c>
      <c r="K662">
        <f>IF(AND(H662=OFICIAL!F69,I662=OFICIAL!G69), 5, 0)</f>
        <v>0</v>
      </c>
    </row>
    <row r="663" spans="1:12" x14ac:dyDescent="0.25">
      <c r="A663" t="s">
        <v>77</v>
      </c>
      <c r="B663" t="s">
        <v>99</v>
      </c>
      <c r="C663" t="s">
        <v>685</v>
      </c>
      <c r="D663" t="s">
        <v>52</v>
      </c>
      <c r="E663" t="s">
        <v>61</v>
      </c>
      <c r="F663" t="s">
        <v>53</v>
      </c>
      <c r="G663" t="s">
        <v>684</v>
      </c>
      <c r="H663">
        <v>1</v>
      </c>
      <c r="I663">
        <v>2</v>
      </c>
      <c r="J663" t="s">
        <v>870</v>
      </c>
      <c r="K663">
        <f>IF(AND(H663=OFICIAL!F70,I663=OFICIAL!G70), 5, 0)</f>
        <v>0</v>
      </c>
    </row>
    <row r="664" spans="1:12" x14ac:dyDescent="0.25">
      <c r="A664" t="s">
        <v>77</v>
      </c>
      <c r="B664" t="s">
        <v>99</v>
      </c>
      <c r="C664" t="s">
        <v>683</v>
      </c>
      <c r="D664" t="s">
        <v>52</v>
      </c>
      <c r="E664" t="s">
        <v>54</v>
      </c>
      <c r="F664" t="s">
        <v>60</v>
      </c>
      <c r="G664" t="s">
        <v>684</v>
      </c>
      <c r="H664">
        <v>2</v>
      </c>
      <c r="I664">
        <v>1</v>
      </c>
      <c r="J664" t="s">
        <v>870</v>
      </c>
      <c r="K664">
        <f>IF(AND(H664=OFICIAL!F71,I664=OFICIAL!G71), 5, 0)</f>
        <v>0</v>
      </c>
    </row>
    <row r="665" spans="1:12" x14ac:dyDescent="0.25">
      <c r="A665" t="s">
        <v>77</v>
      </c>
      <c r="B665" t="s">
        <v>99</v>
      </c>
      <c r="C665" t="s">
        <v>686</v>
      </c>
      <c r="D665" t="s">
        <v>47</v>
      </c>
      <c r="E665" t="s">
        <v>49</v>
      </c>
      <c r="F665" t="s">
        <v>50</v>
      </c>
      <c r="G665" t="s">
        <v>687</v>
      </c>
      <c r="H665">
        <v>0</v>
      </c>
      <c r="I665">
        <v>0</v>
      </c>
      <c r="J665" t="s">
        <v>869</v>
      </c>
      <c r="K665">
        <f>IF(AND(H665=OFICIAL!F72,I665=OFICIAL!G72), 5, 0)</f>
        <v>0</v>
      </c>
    </row>
    <row r="666" spans="1:12" x14ac:dyDescent="0.25">
      <c r="A666" t="s">
        <v>77</v>
      </c>
      <c r="B666" t="s">
        <v>99</v>
      </c>
      <c r="C666" s="4" t="s">
        <v>688</v>
      </c>
      <c r="D666" t="s">
        <v>47</v>
      </c>
      <c r="E666" t="s">
        <v>51</v>
      </c>
      <c r="F666" t="s">
        <v>48</v>
      </c>
      <c r="G666" t="s">
        <v>687</v>
      </c>
      <c r="H666">
        <v>0</v>
      </c>
      <c r="I666">
        <v>2</v>
      </c>
      <c r="J666" t="s">
        <v>869</v>
      </c>
      <c r="K666">
        <f>IF(AND(H666=OFICIAL!F73,I666=OFICIAL!G73), 5, 0)</f>
        <v>0</v>
      </c>
    </row>
    <row r="667" spans="1:12" x14ac:dyDescent="0.25">
      <c r="C667" s="4"/>
    </row>
    <row r="668" spans="1:12" ht="18" customHeight="1" thickBot="1" x14ac:dyDescent="0.3">
      <c r="A668" s="23" t="s">
        <v>78</v>
      </c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</row>
    <row r="669" spans="1:12" ht="15.75" thickBot="1" x14ac:dyDescent="0.3">
      <c r="A669" t="s">
        <v>79</v>
      </c>
      <c r="B669" t="s">
        <v>100</v>
      </c>
      <c r="C669" t="s">
        <v>554</v>
      </c>
      <c r="D669" t="s">
        <v>2</v>
      </c>
      <c r="E669" t="s">
        <v>3</v>
      </c>
      <c r="F669" t="s">
        <v>4</v>
      </c>
      <c r="G669" t="s">
        <v>555</v>
      </c>
      <c r="H669">
        <v>2</v>
      </c>
      <c r="I669">
        <v>0</v>
      </c>
      <c r="J669" t="s">
        <v>872</v>
      </c>
      <c r="K669">
        <f>IF(AND(H669=OFICIAL!F2,I669=OFICIAL!G2), 5, 0)</f>
        <v>5</v>
      </c>
      <c r="L669" s="6">
        <f>SUM(K669:K740)</f>
        <v>35</v>
      </c>
    </row>
    <row r="670" spans="1:12" x14ac:dyDescent="0.25">
      <c r="A670" t="s">
        <v>79</v>
      </c>
      <c r="B670" t="s">
        <v>100</v>
      </c>
      <c r="C670" t="s">
        <v>557</v>
      </c>
      <c r="D670" t="s">
        <v>2</v>
      </c>
      <c r="E670" t="s">
        <v>5</v>
      </c>
      <c r="F670" t="s">
        <v>6</v>
      </c>
      <c r="G670" t="s">
        <v>558</v>
      </c>
      <c r="H670">
        <v>1</v>
      </c>
      <c r="I670">
        <v>1</v>
      </c>
      <c r="J670" t="s">
        <v>872</v>
      </c>
      <c r="K670">
        <f>IF(AND(H670=OFICIAL!F3,I670=OFICIAL!G3), 5, 0)</f>
        <v>0</v>
      </c>
    </row>
    <row r="671" spans="1:12" x14ac:dyDescent="0.25">
      <c r="A671" t="s">
        <v>79</v>
      </c>
      <c r="B671" t="s">
        <v>100</v>
      </c>
      <c r="C671" t="s">
        <v>559</v>
      </c>
      <c r="D671" t="s">
        <v>7</v>
      </c>
      <c r="E671" t="s">
        <v>8</v>
      </c>
      <c r="F671" t="s">
        <v>9</v>
      </c>
      <c r="G671" t="s">
        <v>560</v>
      </c>
      <c r="H671">
        <v>1</v>
      </c>
      <c r="I671">
        <v>1</v>
      </c>
      <c r="J671" t="s">
        <v>873</v>
      </c>
      <c r="K671">
        <f>IF(AND(H671=OFICIAL!F4,I671=OFICIAL!G4), 5, 0)</f>
        <v>5</v>
      </c>
    </row>
    <row r="672" spans="1:12" x14ac:dyDescent="0.25">
      <c r="A672" t="s">
        <v>79</v>
      </c>
      <c r="B672" t="s">
        <v>100</v>
      </c>
      <c r="C672" t="s">
        <v>561</v>
      </c>
      <c r="D672" t="s">
        <v>10</v>
      </c>
      <c r="E672" t="s">
        <v>11</v>
      </c>
      <c r="F672" t="s">
        <v>12</v>
      </c>
      <c r="G672" t="s">
        <v>562</v>
      </c>
      <c r="H672">
        <v>2</v>
      </c>
      <c r="I672">
        <v>1</v>
      </c>
      <c r="J672" t="s">
        <v>874</v>
      </c>
      <c r="K672">
        <f>IF(AND(H672=OFICIAL!F5,I672=OFICIAL!G5), 5, 0)</f>
        <v>0</v>
      </c>
    </row>
    <row r="673" spans="1:11" x14ac:dyDescent="0.25">
      <c r="A673" t="s">
        <v>79</v>
      </c>
      <c r="B673" t="s">
        <v>100</v>
      </c>
      <c r="C673" t="s">
        <v>563</v>
      </c>
      <c r="D673" t="s">
        <v>7</v>
      </c>
      <c r="E673" t="s">
        <v>13</v>
      </c>
      <c r="F673" t="s">
        <v>14</v>
      </c>
      <c r="G673" t="s">
        <v>564</v>
      </c>
      <c r="H673">
        <v>0</v>
      </c>
      <c r="I673">
        <v>2</v>
      </c>
      <c r="J673" t="s">
        <v>873</v>
      </c>
      <c r="K673">
        <f>IF(AND(H673=OFICIAL!F6,I673=OFICIAL!G6), 5, 0)</f>
        <v>0</v>
      </c>
    </row>
    <row r="674" spans="1:11" x14ac:dyDescent="0.25">
      <c r="A674" t="s">
        <v>79</v>
      </c>
      <c r="B674" t="s">
        <v>100</v>
      </c>
      <c r="C674" t="s">
        <v>565</v>
      </c>
      <c r="D674" t="s">
        <v>15</v>
      </c>
      <c r="E674" t="s">
        <v>16</v>
      </c>
      <c r="F674" t="s">
        <v>17</v>
      </c>
      <c r="G674" t="s">
        <v>566</v>
      </c>
      <c r="H674">
        <v>2</v>
      </c>
      <c r="I674">
        <v>0</v>
      </c>
      <c r="J674" t="s">
        <v>875</v>
      </c>
      <c r="K674">
        <f>IF(AND(H674=OFICIAL!F7,I674=OFICIAL!G7), 5, 0)</f>
        <v>0</v>
      </c>
    </row>
    <row r="675" spans="1:11" x14ac:dyDescent="0.25">
      <c r="A675" t="s">
        <v>79</v>
      </c>
      <c r="B675" t="s">
        <v>100</v>
      </c>
      <c r="C675" t="s">
        <v>567</v>
      </c>
      <c r="D675" t="s">
        <v>15</v>
      </c>
      <c r="E675" t="s">
        <v>18</v>
      </c>
      <c r="F675" t="s">
        <v>19</v>
      </c>
      <c r="G675" t="s">
        <v>568</v>
      </c>
      <c r="H675">
        <v>0</v>
      </c>
      <c r="I675">
        <v>3</v>
      </c>
      <c r="J675" t="s">
        <v>875</v>
      </c>
      <c r="K675">
        <f>IF(AND(H675=OFICIAL!F8,I675=OFICIAL!G8), 5, 0)</f>
        <v>0</v>
      </c>
    </row>
    <row r="676" spans="1:11" x14ac:dyDescent="0.25">
      <c r="A676" t="s">
        <v>79</v>
      </c>
      <c r="B676" t="s">
        <v>100</v>
      </c>
      <c r="C676" t="s">
        <v>569</v>
      </c>
      <c r="D676" t="s">
        <v>10</v>
      </c>
      <c r="E676" t="s">
        <v>20</v>
      </c>
      <c r="F676" t="s">
        <v>21</v>
      </c>
      <c r="G676" t="s">
        <v>570</v>
      </c>
      <c r="H676">
        <v>0</v>
      </c>
      <c r="I676">
        <v>1</v>
      </c>
      <c r="J676" t="s">
        <v>874</v>
      </c>
      <c r="K676">
        <f>IF(AND(H676=OFICIAL!F9,I676=OFICIAL!G9), 5, 0)</f>
        <v>0</v>
      </c>
    </row>
    <row r="677" spans="1:11" x14ac:dyDescent="0.25">
      <c r="A677" t="s">
        <v>79</v>
      </c>
      <c r="B677" t="s">
        <v>100</v>
      </c>
      <c r="C677" t="s">
        <v>571</v>
      </c>
      <c r="D677" t="s">
        <v>22</v>
      </c>
      <c r="E677" t="s">
        <v>23</v>
      </c>
      <c r="F677" t="s">
        <v>24</v>
      </c>
      <c r="G677" t="s">
        <v>572</v>
      </c>
      <c r="H677">
        <v>4</v>
      </c>
      <c r="I677">
        <v>1</v>
      </c>
      <c r="J677" t="s">
        <v>876</v>
      </c>
      <c r="K677">
        <f>IF(AND(H677=OFICIAL!F10,I677=OFICIAL!G10), 5, 0)</f>
        <v>0</v>
      </c>
    </row>
    <row r="678" spans="1:11" x14ac:dyDescent="0.25">
      <c r="A678" t="s">
        <v>79</v>
      </c>
      <c r="B678" t="s">
        <v>100</v>
      </c>
      <c r="C678" t="s">
        <v>573</v>
      </c>
      <c r="D678" t="s">
        <v>25</v>
      </c>
      <c r="E678" t="s">
        <v>26</v>
      </c>
      <c r="F678" t="s">
        <v>27</v>
      </c>
      <c r="G678" t="s">
        <v>574</v>
      </c>
      <c r="H678">
        <v>3</v>
      </c>
      <c r="I678">
        <v>1</v>
      </c>
      <c r="J678" t="s">
        <v>877</v>
      </c>
      <c r="K678">
        <f>IF(AND(H678=OFICIAL!F11,I678=OFICIAL!G11), 5, 0)</f>
        <v>0</v>
      </c>
    </row>
    <row r="679" spans="1:11" x14ac:dyDescent="0.25">
      <c r="A679" t="s">
        <v>79</v>
      </c>
      <c r="B679" t="s">
        <v>100</v>
      </c>
      <c r="C679" t="s">
        <v>575</v>
      </c>
      <c r="D679" t="s">
        <v>22</v>
      </c>
      <c r="E679" t="s">
        <v>28</v>
      </c>
      <c r="F679" t="s">
        <v>29</v>
      </c>
      <c r="G679" t="s">
        <v>576</v>
      </c>
      <c r="H679">
        <v>0</v>
      </c>
      <c r="I679">
        <v>2</v>
      </c>
      <c r="J679" t="s">
        <v>876</v>
      </c>
      <c r="K679">
        <f>IF(AND(H679=OFICIAL!F12,I679=OFICIAL!G12), 5, 0)</f>
        <v>0</v>
      </c>
    </row>
    <row r="680" spans="1:11" x14ac:dyDescent="0.25">
      <c r="A680" t="s">
        <v>79</v>
      </c>
      <c r="B680" t="s">
        <v>100</v>
      </c>
      <c r="C680" t="s">
        <v>577</v>
      </c>
      <c r="D680" t="s">
        <v>25</v>
      </c>
      <c r="E680" t="s">
        <v>30</v>
      </c>
      <c r="F680" t="s">
        <v>31</v>
      </c>
      <c r="G680" t="s">
        <v>578</v>
      </c>
      <c r="H680">
        <v>2</v>
      </c>
      <c r="I680">
        <v>0</v>
      </c>
      <c r="J680" t="s">
        <v>877</v>
      </c>
      <c r="K680">
        <f>IF(AND(H680=OFICIAL!F13,I680=OFICIAL!G13), 5, 0)</f>
        <v>0</v>
      </c>
    </row>
    <row r="681" spans="1:11" x14ac:dyDescent="0.25">
      <c r="A681" t="s">
        <v>79</v>
      </c>
      <c r="B681" t="s">
        <v>100</v>
      </c>
      <c r="C681" t="s">
        <v>579</v>
      </c>
      <c r="D681" t="s">
        <v>32</v>
      </c>
      <c r="E681" t="s">
        <v>33</v>
      </c>
      <c r="F681" t="s">
        <v>34</v>
      </c>
      <c r="G681" t="s">
        <v>580</v>
      </c>
      <c r="H681">
        <v>4</v>
      </c>
      <c r="I681">
        <v>1</v>
      </c>
      <c r="J681" t="s">
        <v>878</v>
      </c>
      <c r="K681">
        <f>IF(AND(H681=OFICIAL!F14,I681=OFICIAL!G14), 5, 0)</f>
        <v>0</v>
      </c>
    </row>
    <row r="682" spans="1:11" x14ac:dyDescent="0.25">
      <c r="A682" t="s">
        <v>79</v>
      </c>
      <c r="B682" t="s">
        <v>100</v>
      </c>
      <c r="C682" t="s">
        <v>581</v>
      </c>
      <c r="D682" t="s">
        <v>35</v>
      </c>
      <c r="E682" t="s">
        <v>36</v>
      </c>
      <c r="F682" t="s">
        <v>37</v>
      </c>
      <c r="G682" t="s">
        <v>582</v>
      </c>
      <c r="H682">
        <v>3</v>
      </c>
      <c r="I682">
        <v>0</v>
      </c>
      <c r="J682" t="s">
        <v>879</v>
      </c>
      <c r="K682">
        <f>IF(AND(H682=OFICIAL!F15,I682=OFICIAL!G15), 5, 0)</f>
        <v>0</v>
      </c>
    </row>
    <row r="683" spans="1:11" x14ac:dyDescent="0.25">
      <c r="A683" t="s">
        <v>79</v>
      </c>
      <c r="B683" t="s">
        <v>100</v>
      </c>
      <c r="C683" t="s">
        <v>583</v>
      </c>
      <c r="D683" t="s">
        <v>32</v>
      </c>
      <c r="E683" t="s">
        <v>38</v>
      </c>
      <c r="F683" t="s">
        <v>39</v>
      </c>
      <c r="G683" t="s">
        <v>584</v>
      </c>
      <c r="H683">
        <v>0</v>
      </c>
      <c r="I683">
        <v>2</v>
      </c>
      <c r="J683" t="s">
        <v>878</v>
      </c>
      <c r="K683">
        <f>IF(AND(H683=OFICIAL!F16,I683=OFICIAL!G16), 5, 0)</f>
        <v>0</v>
      </c>
    </row>
    <row r="684" spans="1:11" x14ac:dyDescent="0.25">
      <c r="A684" t="s">
        <v>79</v>
      </c>
      <c r="B684" t="s">
        <v>100</v>
      </c>
      <c r="C684" t="s">
        <v>585</v>
      </c>
      <c r="D684" t="s">
        <v>35</v>
      </c>
      <c r="E684" t="s">
        <v>40</v>
      </c>
      <c r="F684" t="s">
        <v>41</v>
      </c>
      <c r="G684" t="s">
        <v>586</v>
      </c>
      <c r="H684">
        <v>1</v>
      </c>
      <c r="I684">
        <v>1</v>
      </c>
      <c r="J684" t="s">
        <v>879</v>
      </c>
      <c r="K684">
        <f>IF(AND(H684=OFICIAL!F17,I684=OFICIAL!G17), 5, 0)</f>
        <v>0</v>
      </c>
    </row>
    <row r="685" spans="1:11" x14ac:dyDescent="0.25">
      <c r="A685" t="s">
        <v>79</v>
      </c>
      <c r="B685" t="s">
        <v>100</v>
      </c>
      <c r="C685" t="s">
        <v>587</v>
      </c>
      <c r="D685" t="s">
        <v>42</v>
      </c>
      <c r="E685" t="s">
        <v>43</v>
      </c>
      <c r="F685" t="s">
        <v>44</v>
      </c>
      <c r="G685" t="s">
        <v>588</v>
      </c>
      <c r="H685">
        <v>3</v>
      </c>
      <c r="I685">
        <v>1</v>
      </c>
      <c r="J685" t="s">
        <v>880</v>
      </c>
      <c r="K685">
        <f>IF(AND(H685=OFICIAL!F18,I685=OFICIAL!G18), 5, 0)</f>
        <v>5</v>
      </c>
    </row>
    <row r="686" spans="1:11" x14ac:dyDescent="0.25">
      <c r="A686" t="s">
        <v>79</v>
      </c>
      <c r="B686" t="s">
        <v>100</v>
      </c>
      <c r="C686" t="s">
        <v>589</v>
      </c>
      <c r="D686" t="s">
        <v>42</v>
      </c>
      <c r="E686" t="s">
        <v>45</v>
      </c>
      <c r="F686" t="s">
        <v>46</v>
      </c>
      <c r="G686" t="s">
        <v>590</v>
      </c>
      <c r="H686">
        <v>0</v>
      </c>
      <c r="I686">
        <v>4</v>
      </c>
      <c r="J686" t="s">
        <v>880</v>
      </c>
      <c r="K686">
        <f>IF(AND(H686=OFICIAL!F19,I686=OFICIAL!G19), 5, 0)</f>
        <v>0</v>
      </c>
    </row>
    <row r="687" spans="1:11" x14ac:dyDescent="0.25">
      <c r="A687" t="s">
        <v>79</v>
      </c>
      <c r="B687" t="s">
        <v>100</v>
      </c>
      <c r="C687" t="s">
        <v>591</v>
      </c>
      <c r="D687" t="s">
        <v>47</v>
      </c>
      <c r="E687" t="s">
        <v>48</v>
      </c>
      <c r="F687" t="s">
        <v>49</v>
      </c>
      <c r="G687" t="s">
        <v>592</v>
      </c>
      <c r="H687">
        <v>3</v>
      </c>
      <c r="I687">
        <v>1</v>
      </c>
      <c r="J687" t="s">
        <v>881</v>
      </c>
      <c r="K687">
        <f>IF(AND(H687=OFICIAL!F20,I687=OFICIAL!G20), 5, 0)</f>
        <v>0</v>
      </c>
    </row>
    <row r="688" spans="1:11" x14ac:dyDescent="0.25">
      <c r="A688" t="s">
        <v>79</v>
      </c>
      <c r="B688" t="s">
        <v>100</v>
      </c>
      <c r="C688" t="s">
        <v>593</v>
      </c>
      <c r="D688" t="s">
        <v>47</v>
      </c>
      <c r="E688" t="s">
        <v>50</v>
      </c>
      <c r="F688" t="s">
        <v>51</v>
      </c>
      <c r="G688" t="s">
        <v>594</v>
      </c>
      <c r="H688">
        <v>2</v>
      </c>
      <c r="I688">
        <v>0</v>
      </c>
      <c r="J688" t="s">
        <v>881</v>
      </c>
      <c r="K688">
        <f>IF(AND(H688=OFICIAL!F21,I688=OFICIAL!G21), 5, 0)</f>
        <v>0</v>
      </c>
    </row>
    <row r="689" spans="1:11" x14ac:dyDescent="0.25">
      <c r="A689" t="s">
        <v>79</v>
      </c>
      <c r="B689" t="s">
        <v>100</v>
      </c>
      <c r="C689" t="s">
        <v>595</v>
      </c>
      <c r="D689" t="s">
        <v>52</v>
      </c>
      <c r="E689" t="s">
        <v>53</v>
      </c>
      <c r="F689" t="s">
        <v>54</v>
      </c>
      <c r="G689" t="s">
        <v>596</v>
      </c>
      <c r="H689">
        <v>4</v>
      </c>
      <c r="I689">
        <v>0</v>
      </c>
      <c r="J689" t="s">
        <v>882</v>
      </c>
      <c r="K689">
        <f>IF(AND(H689=OFICIAL!F22,I689=OFICIAL!G22), 5, 0)</f>
        <v>0</v>
      </c>
    </row>
    <row r="690" spans="1:11" x14ac:dyDescent="0.25">
      <c r="A690" t="s">
        <v>79</v>
      </c>
      <c r="B690" t="s">
        <v>100</v>
      </c>
      <c r="C690" t="s">
        <v>597</v>
      </c>
      <c r="D690" t="s">
        <v>55</v>
      </c>
      <c r="E690" t="s">
        <v>56</v>
      </c>
      <c r="F690" t="s">
        <v>57</v>
      </c>
      <c r="G690" t="s">
        <v>598</v>
      </c>
      <c r="H690">
        <v>3</v>
      </c>
      <c r="I690">
        <v>1</v>
      </c>
      <c r="J690" t="s">
        <v>883</v>
      </c>
      <c r="K690">
        <f>IF(AND(H690=OFICIAL!F23,I690=OFICIAL!G23), 5, 0)</f>
        <v>0</v>
      </c>
    </row>
    <row r="691" spans="1:11" x14ac:dyDescent="0.25">
      <c r="A691" t="s">
        <v>79</v>
      </c>
      <c r="B691" t="s">
        <v>100</v>
      </c>
      <c r="C691" t="s">
        <v>599</v>
      </c>
      <c r="D691" t="s">
        <v>55</v>
      </c>
      <c r="E691" t="s">
        <v>58</v>
      </c>
      <c r="F691" t="s">
        <v>59</v>
      </c>
      <c r="G691" t="s">
        <v>600</v>
      </c>
      <c r="H691">
        <v>1</v>
      </c>
      <c r="I691">
        <v>2</v>
      </c>
      <c r="J691" t="s">
        <v>883</v>
      </c>
      <c r="K691">
        <f>IF(AND(H691=OFICIAL!F24,I691=OFICIAL!G24), 5, 0)</f>
        <v>0</v>
      </c>
    </row>
    <row r="692" spans="1:11" x14ac:dyDescent="0.25">
      <c r="A692" t="s">
        <v>79</v>
      </c>
      <c r="B692" t="s">
        <v>100</v>
      </c>
      <c r="C692" t="s">
        <v>601</v>
      </c>
      <c r="D692" t="s">
        <v>52</v>
      </c>
      <c r="E692" t="s">
        <v>60</v>
      </c>
      <c r="F692" t="s">
        <v>61</v>
      </c>
      <c r="G692" t="s">
        <v>602</v>
      </c>
      <c r="H692">
        <v>0</v>
      </c>
      <c r="I692">
        <v>2</v>
      </c>
      <c r="J692" t="s">
        <v>882</v>
      </c>
      <c r="K692">
        <f>IF(AND(H692=OFICIAL!F25,I692=OFICIAL!G25), 5, 0)</f>
        <v>0</v>
      </c>
    </row>
    <row r="693" spans="1:11" x14ac:dyDescent="0.25">
      <c r="A693" t="s">
        <v>79</v>
      </c>
      <c r="B693" t="s">
        <v>100</v>
      </c>
      <c r="C693" t="s">
        <v>603</v>
      </c>
      <c r="D693" t="s">
        <v>2</v>
      </c>
      <c r="E693" t="s">
        <v>4</v>
      </c>
      <c r="F693" t="s">
        <v>6</v>
      </c>
      <c r="G693" t="s">
        <v>604</v>
      </c>
      <c r="H693">
        <v>0</v>
      </c>
      <c r="I693">
        <v>1</v>
      </c>
      <c r="J693" t="s">
        <v>872</v>
      </c>
      <c r="K693">
        <f>IF(AND(H693=OFICIAL!F26,I693=OFICIAL!G26), 5, 0)</f>
        <v>0</v>
      </c>
    </row>
    <row r="694" spans="1:11" x14ac:dyDescent="0.25">
      <c r="A694" t="s">
        <v>79</v>
      </c>
      <c r="B694" t="s">
        <v>100</v>
      </c>
      <c r="C694" t="s">
        <v>605</v>
      </c>
      <c r="D694" t="s">
        <v>7</v>
      </c>
      <c r="E694" t="s">
        <v>9</v>
      </c>
      <c r="F694" t="s">
        <v>14</v>
      </c>
      <c r="G694" t="s">
        <v>606</v>
      </c>
      <c r="H694">
        <v>2</v>
      </c>
      <c r="I694">
        <v>3</v>
      </c>
      <c r="J694" t="s">
        <v>873</v>
      </c>
      <c r="K694">
        <f>IF(AND(H694=OFICIAL!F27,I694=OFICIAL!G27), 5, 0)</f>
        <v>0</v>
      </c>
    </row>
    <row r="695" spans="1:11" x14ac:dyDescent="0.25">
      <c r="A695" t="s">
        <v>79</v>
      </c>
      <c r="B695" t="s">
        <v>100</v>
      </c>
      <c r="C695" t="s">
        <v>607</v>
      </c>
      <c r="D695" t="s">
        <v>7</v>
      </c>
      <c r="E695" t="s">
        <v>8</v>
      </c>
      <c r="F695" t="s">
        <v>13</v>
      </c>
      <c r="G695" t="s">
        <v>608</v>
      </c>
      <c r="H695">
        <v>1</v>
      </c>
      <c r="I695">
        <v>0</v>
      </c>
      <c r="J695" t="s">
        <v>873</v>
      </c>
      <c r="K695">
        <f>IF(AND(H695=OFICIAL!F28,I695=OFICIAL!G28), 5, 0)</f>
        <v>0</v>
      </c>
    </row>
    <row r="696" spans="1:11" x14ac:dyDescent="0.25">
      <c r="A696" t="s">
        <v>79</v>
      </c>
      <c r="B696" t="s">
        <v>100</v>
      </c>
      <c r="C696" t="s">
        <v>609</v>
      </c>
      <c r="D696" t="s">
        <v>2</v>
      </c>
      <c r="E696" t="s">
        <v>3</v>
      </c>
      <c r="F696" t="s">
        <v>5</v>
      </c>
      <c r="G696" t="s">
        <v>610</v>
      </c>
      <c r="H696">
        <v>2</v>
      </c>
      <c r="I696">
        <v>1</v>
      </c>
      <c r="J696" t="s">
        <v>872</v>
      </c>
      <c r="K696">
        <f>IF(AND(H696=OFICIAL!F29,I696=OFICIAL!G29), 5, 0)</f>
        <v>0</v>
      </c>
    </row>
    <row r="697" spans="1:11" x14ac:dyDescent="0.25">
      <c r="A697" t="s">
        <v>79</v>
      </c>
      <c r="B697" t="s">
        <v>100</v>
      </c>
      <c r="C697" t="s">
        <v>611</v>
      </c>
      <c r="D697" t="s">
        <v>10</v>
      </c>
      <c r="E697" t="s">
        <v>11</v>
      </c>
      <c r="F697" t="s">
        <v>20</v>
      </c>
      <c r="G697" t="s">
        <v>612</v>
      </c>
      <c r="H697">
        <v>2</v>
      </c>
      <c r="I697">
        <v>1</v>
      </c>
      <c r="J697" t="s">
        <v>874</v>
      </c>
      <c r="K697">
        <f>IF(AND(H697=OFICIAL!F30,I697=OFICIAL!G30), 5, 0)</f>
        <v>0</v>
      </c>
    </row>
    <row r="698" spans="1:11" x14ac:dyDescent="0.25">
      <c r="A698" t="s">
        <v>79</v>
      </c>
      <c r="B698" t="s">
        <v>100</v>
      </c>
      <c r="C698" t="s">
        <v>613</v>
      </c>
      <c r="D698" t="s">
        <v>15</v>
      </c>
      <c r="E698" t="s">
        <v>17</v>
      </c>
      <c r="F698" t="s">
        <v>19</v>
      </c>
      <c r="G698" t="s">
        <v>614</v>
      </c>
      <c r="H698">
        <v>1</v>
      </c>
      <c r="I698">
        <v>1</v>
      </c>
      <c r="J698" t="s">
        <v>875</v>
      </c>
      <c r="K698">
        <f>IF(AND(H698=OFICIAL!F31,I698=OFICIAL!G31), 5, 0)</f>
        <v>0</v>
      </c>
    </row>
    <row r="699" spans="1:11" x14ac:dyDescent="0.25">
      <c r="A699" t="s">
        <v>79</v>
      </c>
      <c r="B699" t="s">
        <v>100</v>
      </c>
      <c r="C699" t="s">
        <v>615</v>
      </c>
      <c r="D699" t="s">
        <v>15</v>
      </c>
      <c r="E699" t="s">
        <v>16</v>
      </c>
      <c r="F699" t="s">
        <v>18</v>
      </c>
      <c r="G699" t="s">
        <v>616</v>
      </c>
      <c r="H699">
        <v>4</v>
      </c>
      <c r="I699">
        <v>0</v>
      </c>
      <c r="J699" t="s">
        <v>875</v>
      </c>
      <c r="K699">
        <f>IF(AND(H699=OFICIAL!F32,I699=OFICIAL!G32), 5, 0)</f>
        <v>0</v>
      </c>
    </row>
    <row r="700" spans="1:11" x14ac:dyDescent="0.25">
      <c r="A700" t="s">
        <v>79</v>
      </c>
      <c r="B700" t="s">
        <v>100</v>
      </c>
      <c r="C700" t="s">
        <v>617</v>
      </c>
      <c r="D700" t="s">
        <v>10</v>
      </c>
      <c r="E700" t="s">
        <v>12</v>
      </c>
      <c r="F700" t="s">
        <v>21</v>
      </c>
      <c r="G700" t="s">
        <v>618</v>
      </c>
      <c r="H700">
        <v>1</v>
      </c>
      <c r="I700">
        <v>1</v>
      </c>
      <c r="J700" t="s">
        <v>874</v>
      </c>
      <c r="K700">
        <f>IF(AND(H700=OFICIAL!F33,I700=OFICIAL!G33), 5, 0)</f>
        <v>0</v>
      </c>
    </row>
    <row r="701" spans="1:11" x14ac:dyDescent="0.25">
      <c r="A701" t="s">
        <v>79</v>
      </c>
      <c r="B701" t="s">
        <v>100</v>
      </c>
      <c r="C701" t="s">
        <v>619</v>
      </c>
      <c r="D701" t="s">
        <v>25</v>
      </c>
      <c r="E701" t="s">
        <v>26</v>
      </c>
      <c r="F701" t="s">
        <v>30</v>
      </c>
      <c r="G701" t="s">
        <v>620</v>
      </c>
      <c r="H701">
        <v>2</v>
      </c>
      <c r="I701">
        <v>1</v>
      </c>
      <c r="J701" t="s">
        <v>877</v>
      </c>
      <c r="K701">
        <f>IF(AND(H701=OFICIAL!F34,I701=OFICIAL!G34), 5, 0)</f>
        <v>0</v>
      </c>
    </row>
    <row r="702" spans="1:11" x14ac:dyDescent="0.25">
      <c r="A702" t="s">
        <v>79</v>
      </c>
      <c r="B702" t="s">
        <v>100</v>
      </c>
      <c r="C702" t="s">
        <v>623</v>
      </c>
      <c r="D702" t="s">
        <v>22</v>
      </c>
      <c r="E702" t="s">
        <v>23</v>
      </c>
      <c r="F702" t="s">
        <v>28</v>
      </c>
      <c r="G702" t="s">
        <v>624</v>
      </c>
      <c r="H702">
        <v>2</v>
      </c>
      <c r="I702">
        <v>1</v>
      </c>
      <c r="J702" t="s">
        <v>876</v>
      </c>
      <c r="K702">
        <f>IF(AND(H702=OFICIAL!F35,I702=OFICIAL!G35), 5, 0)</f>
        <v>5</v>
      </c>
    </row>
    <row r="703" spans="1:11" x14ac:dyDescent="0.25">
      <c r="A703" t="s">
        <v>79</v>
      </c>
      <c r="B703" t="s">
        <v>100</v>
      </c>
      <c r="C703" t="s">
        <v>625</v>
      </c>
      <c r="D703" t="s">
        <v>22</v>
      </c>
      <c r="E703" t="s">
        <v>24</v>
      </c>
      <c r="F703" t="s">
        <v>29</v>
      </c>
      <c r="G703" t="s">
        <v>626</v>
      </c>
      <c r="H703">
        <v>0</v>
      </c>
      <c r="I703">
        <v>3</v>
      </c>
      <c r="J703" t="s">
        <v>876</v>
      </c>
      <c r="K703">
        <f>IF(AND(H703=OFICIAL!F36,I703=OFICIAL!G36), 5, 0)</f>
        <v>0</v>
      </c>
    </row>
    <row r="704" spans="1:11" x14ac:dyDescent="0.25">
      <c r="A704" t="s">
        <v>79</v>
      </c>
      <c r="B704" t="s">
        <v>100</v>
      </c>
      <c r="C704" t="s">
        <v>627</v>
      </c>
      <c r="D704" t="s">
        <v>25</v>
      </c>
      <c r="E704" t="s">
        <v>27</v>
      </c>
      <c r="F704" t="s">
        <v>31</v>
      </c>
      <c r="G704" t="s">
        <v>628</v>
      </c>
      <c r="H704">
        <v>1</v>
      </c>
      <c r="I704">
        <v>0</v>
      </c>
      <c r="J704" t="s">
        <v>877</v>
      </c>
      <c r="K704">
        <f>IF(AND(H704=OFICIAL!F37,I704=OFICIAL!G37), 5, 0)</f>
        <v>0</v>
      </c>
    </row>
    <row r="705" spans="1:11" x14ac:dyDescent="0.25">
      <c r="A705" t="s">
        <v>79</v>
      </c>
      <c r="B705" t="s">
        <v>100</v>
      </c>
      <c r="C705" t="s">
        <v>629</v>
      </c>
      <c r="D705" t="s">
        <v>32</v>
      </c>
      <c r="E705" t="s">
        <v>33</v>
      </c>
      <c r="F705" t="s">
        <v>38</v>
      </c>
      <c r="G705" t="s">
        <v>630</v>
      </c>
      <c r="H705">
        <v>3</v>
      </c>
      <c r="I705">
        <v>2</v>
      </c>
      <c r="J705" t="s">
        <v>878</v>
      </c>
      <c r="K705">
        <f>IF(AND(H705=OFICIAL!F38,I705=OFICIAL!G38), 5, 0)</f>
        <v>0</v>
      </c>
    </row>
    <row r="706" spans="1:11" x14ac:dyDescent="0.25">
      <c r="A706" t="s">
        <v>79</v>
      </c>
      <c r="B706" t="s">
        <v>100</v>
      </c>
      <c r="C706" t="s">
        <v>631</v>
      </c>
      <c r="D706" t="s">
        <v>35</v>
      </c>
      <c r="E706" t="s">
        <v>36</v>
      </c>
      <c r="F706" t="s">
        <v>40</v>
      </c>
      <c r="G706" t="s">
        <v>632</v>
      </c>
      <c r="H706">
        <v>3</v>
      </c>
      <c r="I706">
        <v>1</v>
      </c>
      <c r="J706" t="s">
        <v>879</v>
      </c>
      <c r="K706">
        <f>IF(AND(H706=OFICIAL!F39,I706=OFICIAL!G39), 5, 0)</f>
        <v>0</v>
      </c>
    </row>
    <row r="707" spans="1:11" x14ac:dyDescent="0.25">
      <c r="A707" t="s">
        <v>79</v>
      </c>
      <c r="B707" t="s">
        <v>100</v>
      </c>
      <c r="C707" s="4" t="s">
        <v>633</v>
      </c>
      <c r="D707" t="s">
        <v>32</v>
      </c>
      <c r="E707" t="s">
        <v>34</v>
      </c>
      <c r="F707" t="s">
        <v>39</v>
      </c>
      <c r="G707" t="s">
        <v>634</v>
      </c>
      <c r="H707">
        <v>1</v>
      </c>
      <c r="I707">
        <v>3</v>
      </c>
      <c r="J707" t="s">
        <v>878</v>
      </c>
      <c r="K707">
        <f>IF(AND(H707=OFICIAL!F40,I707=OFICIAL!G40), 5, 0)</f>
        <v>0</v>
      </c>
    </row>
    <row r="708" spans="1:11" x14ac:dyDescent="0.25">
      <c r="A708" t="s">
        <v>79</v>
      </c>
      <c r="B708" t="s">
        <v>100</v>
      </c>
      <c r="C708" t="s">
        <v>635</v>
      </c>
      <c r="D708" t="s">
        <v>35</v>
      </c>
      <c r="E708" t="s">
        <v>37</v>
      </c>
      <c r="F708" t="s">
        <v>41</v>
      </c>
      <c r="G708" t="s">
        <v>636</v>
      </c>
      <c r="H708">
        <v>1</v>
      </c>
      <c r="I708">
        <v>0</v>
      </c>
      <c r="J708" t="s">
        <v>879</v>
      </c>
      <c r="K708">
        <f>IF(AND(H708=OFICIAL!F41,I708=OFICIAL!G41), 5, 0)</f>
        <v>0</v>
      </c>
    </row>
    <row r="709" spans="1:11" x14ac:dyDescent="0.25">
      <c r="A709" t="s">
        <v>79</v>
      </c>
      <c r="B709" t="s">
        <v>100</v>
      </c>
      <c r="C709" s="4" t="s">
        <v>637</v>
      </c>
      <c r="D709" t="s">
        <v>47</v>
      </c>
      <c r="E709" t="s">
        <v>48</v>
      </c>
      <c r="F709" t="s">
        <v>50</v>
      </c>
      <c r="G709" t="s">
        <v>638</v>
      </c>
      <c r="H709">
        <v>1</v>
      </c>
      <c r="I709">
        <v>0</v>
      </c>
      <c r="J709" t="s">
        <v>881</v>
      </c>
      <c r="K709">
        <f>IF(AND(H709=OFICIAL!F42,I709=OFICIAL!G42), 5, 0)</f>
        <v>0</v>
      </c>
    </row>
    <row r="710" spans="1:11" x14ac:dyDescent="0.25">
      <c r="A710" t="s">
        <v>79</v>
      </c>
      <c r="B710" t="s">
        <v>100</v>
      </c>
      <c r="C710" t="s">
        <v>639</v>
      </c>
      <c r="D710" t="s">
        <v>42</v>
      </c>
      <c r="E710" t="s">
        <v>43</v>
      </c>
      <c r="F710" t="s">
        <v>45</v>
      </c>
      <c r="G710" t="s">
        <v>640</v>
      </c>
      <c r="H710">
        <v>3</v>
      </c>
      <c r="I710">
        <v>0</v>
      </c>
      <c r="J710" t="s">
        <v>880</v>
      </c>
      <c r="K710">
        <f>IF(AND(H710=OFICIAL!F43,I710=OFICIAL!G43), 5, 0)</f>
        <v>5</v>
      </c>
    </row>
    <row r="711" spans="1:11" x14ac:dyDescent="0.25">
      <c r="A711" t="s">
        <v>79</v>
      </c>
      <c r="B711" t="s">
        <v>100</v>
      </c>
      <c r="C711" t="s">
        <v>641</v>
      </c>
      <c r="D711" t="s">
        <v>42</v>
      </c>
      <c r="E711" t="s">
        <v>44</v>
      </c>
      <c r="F711" t="s">
        <v>46</v>
      </c>
      <c r="G711" t="s">
        <v>642</v>
      </c>
      <c r="H711">
        <v>2</v>
      </c>
      <c r="I711">
        <v>3</v>
      </c>
      <c r="J711" t="s">
        <v>880</v>
      </c>
      <c r="K711">
        <f>IF(AND(H711=OFICIAL!F44,I711=OFICIAL!G44), 5, 0)</f>
        <v>5</v>
      </c>
    </row>
    <row r="712" spans="1:11" x14ac:dyDescent="0.25">
      <c r="A712" t="s">
        <v>79</v>
      </c>
      <c r="B712" t="s">
        <v>100</v>
      </c>
      <c r="C712" t="s">
        <v>643</v>
      </c>
      <c r="D712" t="s">
        <v>47</v>
      </c>
      <c r="E712" t="s">
        <v>49</v>
      </c>
      <c r="F712" t="s">
        <v>51</v>
      </c>
      <c r="G712" t="s">
        <v>644</v>
      </c>
      <c r="H712">
        <v>2</v>
      </c>
      <c r="I712">
        <v>1</v>
      </c>
      <c r="J712" t="s">
        <v>881</v>
      </c>
      <c r="K712">
        <f>IF(AND(H712=OFICIAL!F45,I712=OFICIAL!G45), 5, 0)</f>
        <v>5</v>
      </c>
    </row>
    <row r="713" spans="1:11" x14ac:dyDescent="0.25">
      <c r="A713" t="s">
        <v>79</v>
      </c>
      <c r="B713" t="s">
        <v>100</v>
      </c>
      <c r="C713" t="s">
        <v>645</v>
      </c>
      <c r="D713" t="s">
        <v>52</v>
      </c>
      <c r="E713" t="s">
        <v>53</v>
      </c>
      <c r="F713" t="s">
        <v>60</v>
      </c>
      <c r="G713" t="s">
        <v>646</v>
      </c>
      <c r="H713">
        <v>2</v>
      </c>
      <c r="I713">
        <v>0</v>
      </c>
      <c r="J713" t="s">
        <v>882</v>
      </c>
      <c r="K713">
        <f>IF(AND(H713=OFICIAL!F46,I713=OFICIAL!G46), 5, 0)</f>
        <v>0</v>
      </c>
    </row>
    <row r="714" spans="1:11" x14ac:dyDescent="0.25">
      <c r="A714" t="s">
        <v>79</v>
      </c>
      <c r="B714" t="s">
        <v>100</v>
      </c>
      <c r="C714" t="s">
        <v>647</v>
      </c>
      <c r="D714" t="s">
        <v>55</v>
      </c>
      <c r="E714" t="s">
        <v>56</v>
      </c>
      <c r="F714" t="s">
        <v>58</v>
      </c>
      <c r="G714" t="s">
        <v>648</v>
      </c>
      <c r="H714">
        <v>2</v>
      </c>
      <c r="I714">
        <v>1</v>
      </c>
      <c r="J714" t="s">
        <v>883</v>
      </c>
      <c r="K714">
        <f>IF(AND(H714=OFICIAL!F47,I714=OFICIAL!G47), 5, 0)</f>
        <v>0</v>
      </c>
    </row>
    <row r="715" spans="1:11" x14ac:dyDescent="0.25">
      <c r="A715" t="s">
        <v>79</v>
      </c>
      <c r="B715" t="s">
        <v>100</v>
      </c>
      <c r="C715" t="s">
        <v>649</v>
      </c>
      <c r="D715" t="s">
        <v>55</v>
      </c>
      <c r="E715" t="s">
        <v>57</v>
      </c>
      <c r="F715" t="s">
        <v>59</v>
      </c>
      <c r="G715" t="s">
        <v>650</v>
      </c>
      <c r="H715">
        <v>1</v>
      </c>
      <c r="I715">
        <v>1</v>
      </c>
      <c r="J715" t="s">
        <v>883</v>
      </c>
      <c r="K715">
        <f>IF(AND(H715=OFICIAL!F48,I715=OFICIAL!G48), 5, 0)</f>
        <v>0</v>
      </c>
    </row>
    <row r="716" spans="1:11" x14ac:dyDescent="0.25">
      <c r="A716" t="s">
        <v>79</v>
      </c>
      <c r="B716" t="s">
        <v>100</v>
      </c>
      <c r="C716" t="s">
        <v>651</v>
      </c>
      <c r="D716" t="s">
        <v>52</v>
      </c>
      <c r="E716" t="s">
        <v>54</v>
      </c>
      <c r="F716" t="s">
        <v>61</v>
      </c>
      <c r="G716" t="s">
        <v>652</v>
      </c>
      <c r="H716">
        <v>1</v>
      </c>
      <c r="I716">
        <v>3</v>
      </c>
      <c r="J716" t="s">
        <v>882</v>
      </c>
      <c r="K716">
        <f>IF(AND(H716=OFICIAL!F49,I716=OFICIAL!G49), 5, 0)</f>
        <v>0</v>
      </c>
    </row>
    <row r="717" spans="1:11" x14ac:dyDescent="0.25">
      <c r="A717" t="s">
        <v>79</v>
      </c>
      <c r="B717" t="s">
        <v>100</v>
      </c>
      <c r="C717" t="s">
        <v>655</v>
      </c>
      <c r="D717" t="s">
        <v>7</v>
      </c>
      <c r="E717" t="s">
        <v>9</v>
      </c>
      <c r="F717" t="s">
        <v>13</v>
      </c>
      <c r="G717" t="s">
        <v>654</v>
      </c>
      <c r="H717">
        <v>2</v>
      </c>
      <c r="I717">
        <v>1</v>
      </c>
      <c r="J717" t="s">
        <v>873</v>
      </c>
      <c r="K717">
        <f>IF(AND(H717=OFICIAL!F50,I717=OFICIAL!G50), 5, 0)</f>
        <v>0</v>
      </c>
    </row>
    <row r="718" spans="1:11" x14ac:dyDescent="0.25">
      <c r="A718" t="s">
        <v>79</v>
      </c>
      <c r="B718" t="s">
        <v>100</v>
      </c>
      <c r="C718" t="s">
        <v>653</v>
      </c>
      <c r="D718" t="s">
        <v>7</v>
      </c>
      <c r="E718" t="s">
        <v>14</v>
      </c>
      <c r="F718" t="s">
        <v>8</v>
      </c>
      <c r="G718" t="s">
        <v>654</v>
      </c>
      <c r="H718">
        <v>2</v>
      </c>
      <c r="I718">
        <v>1</v>
      </c>
      <c r="J718" t="s">
        <v>873</v>
      </c>
      <c r="K718">
        <f>IF(AND(H718=OFICIAL!F51,I718=OFICIAL!G51), 5, 0)</f>
        <v>0</v>
      </c>
    </row>
    <row r="719" spans="1:11" x14ac:dyDescent="0.25">
      <c r="A719" t="s">
        <v>79</v>
      </c>
      <c r="B719" t="s">
        <v>100</v>
      </c>
      <c r="C719" t="s">
        <v>656</v>
      </c>
      <c r="D719" t="s">
        <v>15</v>
      </c>
      <c r="E719" t="s">
        <v>19</v>
      </c>
      <c r="F719" t="s">
        <v>16</v>
      </c>
      <c r="G719" t="s">
        <v>657</v>
      </c>
      <c r="H719">
        <v>2</v>
      </c>
      <c r="I719">
        <v>3</v>
      </c>
      <c r="J719" t="s">
        <v>875</v>
      </c>
      <c r="K719">
        <f>IF(AND(H719=OFICIAL!F52,I719=OFICIAL!G52), 5, 0)</f>
        <v>0</v>
      </c>
    </row>
    <row r="720" spans="1:11" x14ac:dyDescent="0.25">
      <c r="A720" t="s">
        <v>79</v>
      </c>
      <c r="B720" t="s">
        <v>100</v>
      </c>
      <c r="C720" t="s">
        <v>658</v>
      </c>
      <c r="D720" t="s">
        <v>15</v>
      </c>
      <c r="E720" t="s">
        <v>17</v>
      </c>
      <c r="F720" t="s">
        <v>18</v>
      </c>
      <c r="G720" t="s">
        <v>657</v>
      </c>
      <c r="H720">
        <v>3</v>
      </c>
      <c r="I720">
        <v>1</v>
      </c>
      <c r="J720" t="s">
        <v>875</v>
      </c>
      <c r="K720">
        <f>IF(AND(H720=OFICIAL!F53,I720=OFICIAL!G53), 5, 0)</f>
        <v>0</v>
      </c>
    </row>
    <row r="721" spans="1:11" x14ac:dyDescent="0.25">
      <c r="A721" t="s">
        <v>79</v>
      </c>
      <c r="B721" t="s">
        <v>100</v>
      </c>
      <c r="C721" t="s">
        <v>661</v>
      </c>
      <c r="D721" t="s">
        <v>2</v>
      </c>
      <c r="E721" t="s">
        <v>6</v>
      </c>
      <c r="F721" t="s">
        <v>3</v>
      </c>
      <c r="G721" t="s">
        <v>660</v>
      </c>
      <c r="H721">
        <v>2</v>
      </c>
      <c r="I721">
        <v>2</v>
      </c>
      <c r="J721" t="s">
        <v>872</v>
      </c>
      <c r="K721">
        <f>IF(AND(H721=OFICIAL!F54,I721=OFICIAL!G54), 5, 0)</f>
        <v>0</v>
      </c>
    </row>
    <row r="722" spans="1:11" x14ac:dyDescent="0.25">
      <c r="A722" t="s">
        <v>79</v>
      </c>
      <c r="B722" t="s">
        <v>100</v>
      </c>
      <c r="C722" t="s">
        <v>659</v>
      </c>
      <c r="D722" t="s">
        <v>2</v>
      </c>
      <c r="E722" t="s">
        <v>5</v>
      </c>
      <c r="F722" t="s">
        <v>4</v>
      </c>
      <c r="G722" t="s">
        <v>660</v>
      </c>
      <c r="H722">
        <v>3</v>
      </c>
      <c r="I722">
        <v>1</v>
      </c>
      <c r="J722" t="s">
        <v>872</v>
      </c>
      <c r="K722">
        <f>IF(AND(H722=OFICIAL!F55,I722=OFICIAL!G55), 5, 0)</f>
        <v>0</v>
      </c>
    </row>
    <row r="723" spans="1:11" x14ac:dyDescent="0.25">
      <c r="A723" t="s">
        <v>79</v>
      </c>
      <c r="B723" t="s">
        <v>100</v>
      </c>
      <c r="C723" t="s">
        <v>662</v>
      </c>
      <c r="D723" t="s">
        <v>22</v>
      </c>
      <c r="E723" t="s">
        <v>29</v>
      </c>
      <c r="F723" t="s">
        <v>23</v>
      </c>
      <c r="G723" t="s">
        <v>663</v>
      </c>
      <c r="H723">
        <v>1</v>
      </c>
      <c r="I723">
        <v>0</v>
      </c>
      <c r="J723" t="s">
        <v>876</v>
      </c>
      <c r="K723">
        <f>IF(AND(H723=OFICIAL!F56,I723=OFICIAL!G56), 5, 0)</f>
        <v>0</v>
      </c>
    </row>
    <row r="724" spans="1:11" x14ac:dyDescent="0.25">
      <c r="A724" t="s">
        <v>79</v>
      </c>
      <c r="B724" t="s">
        <v>100</v>
      </c>
      <c r="C724" t="s">
        <v>664</v>
      </c>
      <c r="D724" t="s">
        <v>22</v>
      </c>
      <c r="E724" t="s">
        <v>24</v>
      </c>
      <c r="F724" t="s">
        <v>28</v>
      </c>
      <c r="G724" t="s">
        <v>663</v>
      </c>
      <c r="H724">
        <v>1</v>
      </c>
      <c r="I724">
        <v>2</v>
      </c>
      <c r="J724" t="s">
        <v>876</v>
      </c>
      <c r="K724">
        <f>IF(AND(H724=OFICIAL!F57,I724=OFICIAL!G57), 5, 0)</f>
        <v>0</v>
      </c>
    </row>
    <row r="725" spans="1:11" x14ac:dyDescent="0.25">
      <c r="A725" t="s">
        <v>79</v>
      </c>
      <c r="B725" t="s">
        <v>100</v>
      </c>
      <c r="C725" t="s">
        <v>667</v>
      </c>
      <c r="D725" t="s">
        <v>25</v>
      </c>
      <c r="E725" t="s">
        <v>31</v>
      </c>
      <c r="F725" t="s">
        <v>26</v>
      </c>
      <c r="G725" t="s">
        <v>666</v>
      </c>
      <c r="H725">
        <v>1</v>
      </c>
      <c r="I725">
        <v>4</v>
      </c>
      <c r="J725" t="s">
        <v>877</v>
      </c>
      <c r="K725">
        <f>IF(AND(H725=OFICIAL!F58,I725=OFICIAL!G58), 5, 0)</f>
        <v>0</v>
      </c>
    </row>
    <row r="726" spans="1:11" x14ac:dyDescent="0.25">
      <c r="A726" t="s">
        <v>79</v>
      </c>
      <c r="B726" t="s">
        <v>100</v>
      </c>
      <c r="C726" t="s">
        <v>665</v>
      </c>
      <c r="D726" t="s">
        <v>25</v>
      </c>
      <c r="E726" t="s">
        <v>27</v>
      </c>
      <c r="F726" t="s">
        <v>30</v>
      </c>
      <c r="G726" t="s">
        <v>666</v>
      </c>
      <c r="H726">
        <v>2</v>
      </c>
      <c r="I726">
        <v>2</v>
      </c>
      <c r="J726" t="s">
        <v>877</v>
      </c>
      <c r="K726">
        <f>IF(AND(H726=OFICIAL!F59,I726=OFICIAL!G59), 5, 0)</f>
        <v>0</v>
      </c>
    </row>
    <row r="727" spans="1:11" x14ac:dyDescent="0.25">
      <c r="A727" t="s">
        <v>79</v>
      </c>
      <c r="B727" t="s">
        <v>100</v>
      </c>
      <c r="C727" t="s">
        <v>668</v>
      </c>
      <c r="D727" t="s">
        <v>10</v>
      </c>
      <c r="E727" t="s">
        <v>21</v>
      </c>
      <c r="F727" t="s">
        <v>11</v>
      </c>
      <c r="G727" t="s">
        <v>669</v>
      </c>
      <c r="H727">
        <v>2</v>
      </c>
      <c r="I727">
        <v>2</v>
      </c>
      <c r="J727" t="s">
        <v>874</v>
      </c>
      <c r="K727">
        <f>IF(AND(H727=OFICIAL!F60,I727=OFICIAL!G60), 5, 0)</f>
        <v>0</v>
      </c>
    </row>
    <row r="728" spans="1:11" x14ac:dyDescent="0.25">
      <c r="A728" t="s">
        <v>79</v>
      </c>
      <c r="B728" t="s">
        <v>100</v>
      </c>
      <c r="C728" t="s">
        <v>670</v>
      </c>
      <c r="D728" t="s">
        <v>10</v>
      </c>
      <c r="E728" t="s">
        <v>12</v>
      </c>
      <c r="F728" t="s">
        <v>20</v>
      </c>
      <c r="G728" t="s">
        <v>669</v>
      </c>
      <c r="H728">
        <v>1</v>
      </c>
      <c r="I728">
        <v>1</v>
      </c>
      <c r="J728" t="s">
        <v>874</v>
      </c>
      <c r="K728">
        <f>IF(AND(H728=OFICIAL!F61,I728=OFICIAL!G61), 5, 0)</f>
        <v>0</v>
      </c>
    </row>
    <row r="729" spans="1:11" x14ac:dyDescent="0.25">
      <c r="A729" t="s">
        <v>79</v>
      </c>
      <c r="B729" t="s">
        <v>100</v>
      </c>
      <c r="C729" t="s">
        <v>671</v>
      </c>
      <c r="D729" t="s">
        <v>42</v>
      </c>
      <c r="E729" t="s">
        <v>46</v>
      </c>
      <c r="F729" t="s">
        <v>43</v>
      </c>
      <c r="G729" t="s">
        <v>672</v>
      </c>
      <c r="H729">
        <v>2</v>
      </c>
      <c r="I729">
        <v>1</v>
      </c>
      <c r="J729" t="s">
        <v>880</v>
      </c>
      <c r="K729">
        <f>IF(AND(H729=OFICIAL!F62,I729=OFICIAL!G62), 5, 0)</f>
        <v>0</v>
      </c>
    </row>
    <row r="730" spans="1:11" x14ac:dyDescent="0.25">
      <c r="A730" t="s">
        <v>79</v>
      </c>
      <c r="B730" t="s">
        <v>100</v>
      </c>
      <c r="C730" t="s">
        <v>673</v>
      </c>
      <c r="D730" t="s">
        <v>42</v>
      </c>
      <c r="E730" t="s">
        <v>44</v>
      </c>
      <c r="F730" t="s">
        <v>45</v>
      </c>
      <c r="G730" t="s">
        <v>672</v>
      </c>
      <c r="H730">
        <v>3</v>
      </c>
      <c r="I730">
        <v>1</v>
      </c>
      <c r="J730" t="s">
        <v>880</v>
      </c>
      <c r="K730">
        <f>IF(AND(H730=OFICIAL!F63,I730=OFICIAL!G63), 5, 0)</f>
        <v>0</v>
      </c>
    </row>
    <row r="731" spans="1:11" x14ac:dyDescent="0.25">
      <c r="A731" t="s">
        <v>79</v>
      </c>
      <c r="B731" t="s">
        <v>100</v>
      </c>
      <c r="C731" t="s">
        <v>676</v>
      </c>
      <c r="D731" t="s">
        <v>32</v>
      </c>
      <c r="E731" t="s">
        <v>34</v>
      </c>
      <c r="F731" t="s">
        <v>38</v>
      </c>
      <c r="G731" t="s">
        <v>675</v>
      </c>
      <c r="H731">
        <v>0</v>
      </c>
      <c r="I731">
        <v>3</v>
      </c>
      <c r="J731" t="s">
        <v>878</v>
      </c>
      <c r="K731">
        <f>IF(AND(H731=OFICIAL!F64,I731=OFICIAL!G64), 5, 0)</f>
        <v>0</v>
      </c>
    </row>
    <row r="732" spans="1:11" x14ac:dyDescent="0.25">
      <c r="A732" t="s">
        <v>79</v>
      </c>
      <c r="B732" t="s">
        <v>100</v>
      </c>
      <c r="C732" t="s">
        <v>674</v>
      </c>
      <c r="D732" t="s">
        <v>32</v>
      </c>
      <c r="E732" t="s">
        <v>39</v>
      </c>
      <c r="F732" t="s">
        <v>33</v>
      </c>
      <c r="G732" t="s">
        <v>675</v>
      </c>
      <c r="H732">
        <v>1</v>
      </c>
      <c r="I732">
        <v>3</v>
      </c>
      <c r="J732" t="s">
        <v>878</v>
      </c>
      <c r="K732">
        <f>IF(AND(H732=OFICIAL!F65,I732=OFICIAL!G65), 5, 0)</f>
        <v>0</v>
      </c>
    </row>
    <row r="733" spans="1:11" x14ac:dyDescent="0.25">
      <c r="A733" t="s">
        <v>79</v>
      </c>
      <c r="B733" t="s">
        <v>100</v>
      </c>
      <c r="C733" t="s">
        <v>679</v>
      </c>
      <c r="D733" t="s">
        <v>35</v>
      </c>
      <c r="E733" t="s">
        <v>41</v>
      </c>
      <c r="F733" t="s">
        <v>36</v>
      </c>
      <c r="G733" t="s">
        <v>678</v>
      </c>
      <c r="H733">
        <v>1</v>
      </c>
      <c r="I733">
        <v>3</v>
      </c>
      <c r="J733" t="s">
        <v>879</v>
      </c>
      <c r="K733">
        <f>IF(AND(H733=OFICIAL!F66,I733=OFICIAL!G66), 5, 0)</f>
        <v>0</v>
      </c>
    </row>
    <row r="734" spans="1:11" x14ac:dyDescent="0.25">
      <c r="A734" t="s">
        <v>79</v>
      </c>
      <c r="B734" t="s">
        <v>100</v>
      </c>
      <c r="C734" t="s">
        <v>677</v>
      </c>
      <c r="D734" t="s">
        <v>35</v>
      </c>
      <c r="E734" t="s">
        <v>37</v>
      </c>
      <c r="F734" t="s">
        <v>40</v>
      </c>
      <c r="G734" t="s">
        <v>678</v>
      </c>
      <c r="H734">
        <v>2</v>
      </c>
      <c r="I734">
        <v>2</v>
      </c>
      <c r="J734" t="s">
        <v>879</v>
      </c>
      <c r="K734">
        <f>IF(AND(H734=OFICIAL!F67,I734=OFICIAL!G67), 5, 0)</f>
        <v>0</v>
      </c>
    </row>
    <row r="735" spans="1:11" x14ac:dyDescent="0.25">
      <c r="A735" t="s">
        <v>79</v>
      </c>
      <c r="B735" t="s">
        <v>100</v>
      </c>
      <c r="C735" t="s">
        <v>680</v>
      </c>
      <c r="D735" t="s">
        <v>55</v>
      </c>
      <c r="E735" t="s">
        <v>59</v>
      </c>
      <c r="F735" t="s">
        <v>56</v>
      </c>
      <c r="G735" t="s">
        <v>681</v>
      </c>
      <c r="H735">
        <v>0</v>
      </c>
      <c r="I735">
        <v>4</v>
      </c>
      <c r="J735" t="s">
        <v>883</v>
      </c>
      <c r="K735">
        <f>IF(AND(H735=OFICIAL!F68,I735=OFICIAL!G68), 5, 0)</f>
        <v>0</v>
      </c>
    </row>
    <row r="736" spans="1:11" x14ac:dyDescent="0.25">
      <c r="A736" t="s">
        <v>79</v>
      </c>
      <c r="B736" t="s">
        <v>100</v>
      </c>
      <c r="C736" t="s">
        <v>682</v>
      </c>
      <c r="D736" t="s">
        <v>55</v>
      </c>
      <c r="E736" t="s">
        <v>57</v>
      </c>
      <c r="F736" t="s">
        <v>58</v>
      </c>
      <c r="G736" t="s">
        <v>681</v>
      </c>
      <c r="H736">
        <v>2</v>
      </c>
      <c r="I736">
        <v>0</v>
      </c>
      <c r="J736" t="s">
        <v>883</v>
      </c>
      <c r="K736">
        <f>IF(AND(H736=OFICIAL!F69,I736=OFICIAL!G69), 5, 0)</f>
        <v>0</v>
      </c>
    </row>
    <row r="737" spans="1:11" x14ac:dyDescent="0.25">
      <c r="A737" t="s">
        <v>79</v>
      </c>
      <c r="B737" t="s">
        <v>100</v>
      </c>
      <c r="C737" t="s">
        <v>683</v>
      </c>
      <c r="D737" t="s">
        <v>52</v>
      </c>
      <c r="E737" t="s">
        <v>54</v>
      </c>
      <c r="F737" t="s">
        <v>60</v>
      </c>
      <c r="G737" t="s">
        <v>684</v>
      </c>
      <c r="H737">
        <v>1</v>
      </c>
      <c r="I737">
        <v>1</v>
      </c>
      <c r="J737" t="s">
        <v>882</v>
      </c>
      <c r="K737">
        <f>IF(AND(H737=OFICIAL!F70,I737=OFICIAL!G70), 5, 0)</f>
        <v>0</v>
      </c>
    </row>
    <row r="738" spans="1:11" x14ac:dyDescent="0.25">
      <c r="A738" t="s">
        <v>79</v>
      </c>
      <c r="B738" t="s">
        <v>100</v>
      </c>
      <c r="C738" t="s">
        <v>685</v>
      </c>
      <c r="D738" t="s">
        <v>52</v>
      </c>
      <c r="E738" t="s">
        <v>61</v>
      </c>
      <c r="F738" t="s">
        <v>53</v>
      </c>
      <c r="G738" t="s">
        <v>684</v>
      </c>
      <c r="H738">
        <v>1</v>
      </c>
      <c r="I738">
        <v>2</v>
      </c>
      <c r="J738" t="s">
        <v>882</v>
      </c>
      <c r="K738">
        <f>IF(AND(H738=OFICIAL!F71,I738=OFICIAL!G71), 5, 0)</f>
        <v>0</v>
      </c>
    </row>
    <row r="739" spans="1:11" x14ac:dyDescent="0.25">
      <c r="A739" t="s">
        <v>79</v>
      </c>
      <c r="B739" t="s">
        <v>100</v>
      </c>
      <c r="C739" s="4" t="s">
        <v>688</v>
      </c>
      <c r="D739" t="s">
        <v>47</v>
      </c>
      <c r="E739" t="s">
        <v>51</v>
      </c>
      <c r="F739" t="s">
        <v>48</v>
      </c>
      <c r="G739" t="s">
        <v>687</v>
      </c>
      <c r="H739">
        <v>1</v>
      </c>
      <c r="I739">
        <v>3</v>
      </c>
      <c r="J739" t="s">
        <v>881</v>
      </c>
      <c r="K739">
        <f>IF(AND(H739=OFICIAL!F72,I739=OFICIAL!G72), 5, 0)</f>
        <v>0</v>
      </c>
    </row>
    <row r="740" spans="1:11" x14ac:dyDescent="0.25">
      <c r="A740" t="s">
        <v>79</v>
      </c>
      <c r="B740" t="s">
        <v>100</v>
      </c>
      <c r="C740" t="s">
        <v>686</v>
      </c>
      <c r="D740" t="s">
        <v>47</v>
      </c>
      <c r="E740" t="s">
        <v>49</v>
      </c>
      <c r="F740" t="s">
        <v>50</v>
      </c>
      <c r="G740" t="s">
        <v>687</v>
      </c>
      <c r="H740">
        <v>0</v>
      </c>
      <c r="I740">
        <v>1</v>
      </c>
      <c r="J740" t="s">
        <v>881</v>
      </c>
      <c r="K740">
        <f>IF(AND(H740=OFICIAL!F73,I740=OFICIAL!G73), 5, 0)</f>
        <v>0</v>
      </c>
    </row>
  </sheetData>
  <mergeCells count="10">
    <mergeCell ref="A446:L446"/>
    <mergeCell ref="A520:L520"/>
    <mergeCell ref="A594:L594"/>
    <mergeCell ref="A668:L668"/>
    <mergeCell ref="A2:L2"/>
    <mergeCell ref="A76:L76"/>
    <mergeCell ref="A150:L150"/>
    <mergeCell ref="A224:L224"/>
    <mergeCell ref="A298:L298"/>
    <mergeCell ref="A372:L37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B9AAD-77DB-46A1-BAF4-DC45F2940D43}">
  <dimension ref="A1:G11"/>
  <sheetViews>
    <sheetView zoomScale="88" workbookViewId="0">
      <selection activeCell="H39" sqref="H39"/>
    </sheetView>
  </sheetViews>
  <sheetFormatPr baseColWidth="10" defaultRowHeight="15" x14ac:dyDescent="0.25"/>
  <cols>
    <col min="1" max="1" width="14.28515625" customWidth="1"/>
    <col min="2" max="2" width="23.7109375" customWidth="1"/>
    <col min="3" max="3" width="23.42578125" customWidth="1"/>
    <col min="4" max="4" width="28.85546875" customWidth="1"/>
    <col min="5" max="5" width="20.5703125" customWidth="1"/>
    <col min="6" max="6" width="13.140625" customWidth="1"/>
    <col min="7" max="7" width="24.28515625" customWidth="1"/>
  </cols>
  <sheetData>
    <row r="1" spans="1:7" x14ac:dyDescent="0.25">
      <c r="A1" s="1" t="s">
        <v>80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9" t="s">
        <v>886</v>
      </c>
    </row>
    <row r="2" spans="1:7" x14ac:dyDescent="0.25">
      <c r="A2" t="s">
        <v>1</v>
      </c>
      <c r="B2" t="s">
        <v>101</v>
      </c>
      <c r="C2" t="s">
        <v>102</v>
      </c>
      <c r="D2" t="s">
        <v>103</v>
      </c>
      <c r="E2" t="s">
        <v>104</v>
      </c>
      <c r="F2" t="s">
        <v>88</v>
      </c>
      <c r="G2" s="8" cm="1">
        <f t="array" ref="G2">SUMPRODUCT(--(B2:F2=OFICIAL!K2:O2)) * 10</f>
        <v>0</v>
      </c>
    </row>
    <row r="3" spans="1:7" x14ac:dyDescent="0.25">
      <c r="A3" t="s">
        <v>63</v>
      </c>
      <c r="B3" t="s">
        <v>105</v>
      </c>
      <c r="C3" t="s">
        <v>106</v>
      </c>
      <c r="D3" t="s">
        <v>107</v>
      </c>
      <c r="E3" t="s">
        <v>108</v>
      </c>
      <c r="F3" t="s">
        <v>11</v>
      </c>
      <c r="G3" s="8" cm="1">
        <f t="array" ref="G3">SUMPRODUCT(--(B3:F3=OFICIAL!K2:O2)) * 10</f>
        <v>0</v>
      </c>
    </row>
    <row r="4" spans="1:7" x14ac:dyDescent="0.25">
      <c r="A4" t="s">
        <v>65</v>
      </c>
      <c r="B4" t="s">
        <v>104</v>
      </c>
      <c r="C4" t="s">
        <v>101</v>
      </c>
      <c r="D4" t="s">
        <v>109</v>
      </c>
      <c r="E4" t="s">
        <v>104</v>
      </c>
      <c r="F4" t="s">
        <v>88</v>
      </c>
      <c r="G4" s="8" cm="1">
        <f t="array" ref="G4">SUMPRODUCT(--(B4:F4=OFICIAL!K2:O2)) * 10</f>
        <v>0</v>
      </c>
    </row>
    <row r="5" spans="1:7" x14ac:dyDescent="0.25">
      <c r="A5" t="s">
        <v>67</v>
      </c>
      <c r="B5" t="s">
        <v>104</v>
      </c>
      <c r="C5" t="s">
        <v>110</v>
      </c>
      <c r="D5" t="s">
        <v>111</v>
      </c>
      <c r="E5" t="s">
        <v>104</v>
      </c>
      <c r="F5" t="s">
        <v>92</v>
      </c>
      <c r="G5" s="8" cm="1">
        <f t="array" ref="G5">SUMPRODUCT(--(B5:F5=OFICIAL!K2:O2)) * 10</f>
        <v>0</v>
      </c>
    </row>
    <row r="6" spans="1:7" x14ac:dyDescent="0.25">
      <c r="A6" t="s">
        <v>69</v>
      </c>
      <c r="B6" t="s">
        <v>112</v>
      </c>
      <c r="C6" t="s">
        <v>101</v>
      </c>
      <c r="D6" t="s">
        <v>109</v>
      </c>
      <c r="E6" t="s">
        <v>104</v>
      </c>
      <c r="F6" t="s">
        <v>94</v>
      </c>
      <c r="G6" s="8" cm="1">
        <f t="array" ref="G6">SUMPRODUCT(--(B6:F6=OFICIAL!K2:O2)) * 10</f>
        <v>0</v>
      </c>
    </row>
    <row r="7" spans="1:7" x14ac:dyDescent="0.25">
      <c r="A7" t="s">
        <v>71</v>
      </c>
      <c r="B7" t="s">
        <v>104</v>
      </c>
      <c r="C7" t="s">
        <v>101</v>
      </c>
      <c r="D7" t="s">
        <v>113</v>
      </c>
      <c r="E7" t="s">
        <v>104</v>
      </c>
      <c r="F7" t="s">
        <v>92</v>
      </c>
      <c r="G7" s="8" cm="1">
        <f t="array" ref="G7">SUMPRODUCT(--(B7:F7=OFICIAL!K2:O2)) * 10</f>
        <v>0</v>
      </c>
    </row>
    <row r="8" spans="1:7" x14ac:dyDescent="0.25">
      <c r="A8" t="s">
        <v>73</v>
      </c>
      <c r="B8" t="s">
        <v>101</v>
      </c>
      <c r="C8" t="s">
        <v>102</v>
      </c>
      <c r="D8" t="s">
        <v>111</v>
      </c>
      <c r="E8" t="s">
        <v>104</v>
      </c>
      <c r="F8" t="s">
        <v>97</v>
      </c>
      <c r="G8" s="8" cm="1">
        <f t="array" ref="G8">SUMPRODUCT(--(B8:F8=OFICIAL!K2:O2)) * 10</f>
        <v>0</v>
      </c>
    </row>
    <row r="9" spans="1:7" x14ac:dyDescent="0.25">
      <c r="A9" t="s">
        <v>75</v>
      </c>
      <c r="B9" t="s">
        <v>110</v>
      </c>
      <c r="C9" t="s">
        <v>101</v>
      </c>
      <c r="D9" t="s">
        <v>114</v>
      </c>
      <c r="E9" t="s">
        <v>104</v>
      </c>
      <c r="F9" t="s">
        <v>92</v>
      </c>
      <c r="G9" s="8" cm="1">
        <f t="array" ref="G9">SUMPRODUCT(--(B9:F9=OFICIAL!K2:O2)) * 10</f>
        <v>0</v>
      </c>
    </row>
    <row r="10" spans="1:7" x14ac:dyDescent="0.25">
      <c r="A10" t="s">
        <v>77</v>
      </c>
      <c r="B10" t="s">
        <v>108</v>
      </c>
      <c r="C10" t="s">
        <v>106</v>
      </c>
      <c r="D10" t="s">
        <v>115</v>
      </c>
      <c r="E10" t="s">
        <v>108</v>
      </c>
      <c r="F10" t="s">
        <v>11</v>
      </c>
      <c r="G10" s="8" cm="1">
        <f t="array" ref="G10">SUMPRODUCT(--(B10:F10=OFICIAL!K2:O2)) * 10</f>
        <v>0</v>
      </c>
    </row>
    <row r="11" spans="1:7" x14ac:dyDescent="0.25">
      <c r="A11" t="s">
        <v>79</v>
      </c>
      <c r="B11" t="s">
        <v>108</v>
      </c>
      <c r="C11" t="s">
        <v>116</v>
      </c>
      <c r="D11" t="s">
        <v>117</v>
      </c>
      <c r="E11" t="s">
        <v>108</v>
      </c>
      <c r="F11" t="s">
        <v>118</v>
      </c>
      <c r="G11" s="8" cm="1">
        <f t="array" ref="G11">SUMPRODUCT(--(B11:F11=OFICIAL!K2:O2)) * 10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08C86-0CCC-41DB-8479-C743A0E566FD}">
  <dimension ref="A1:J380"/>
  <sheetViews>
    <sheetView workbookViewId="0">
      <selection activeCell="E381" sqref="E381"/>
    </sheetView>
  </sheetViews>
  <sheetFormatPr baseColWidth="10" defaultRowHeight="15" x14ac:dyDescent="0.25"/>
  <cols>
    <col min="1" max="1" width="14.28515625" customWidth="1"/>
    <col min="2" max="2" width="12.85546875" customWidth="1"/>
    <col min="3" max="3" width="13.7109375" customWidth="1"/>
    <col min="4" max="4" width="27.7109375" customWidth="1"/>
    <col min="6" max="6" width="12.7109375" customWidth="1"/>
  </cols>
  <sheetData>
    <row r="1" spans="1:10" x14ac:dyDescent="0.25">
      <c r="A1" s="1" t="s">
        <v>80</v>
      </c>
      <c r="B1" s="1" t="s">
        <v>119</v>
      </c>
      <c r="C1" s="1" t="s">
        <v>120</v>
      </c>
      <c r="D1" s="1" t="s">
        <v>121</v>
      </c>
      <c r="E1" s="9" t="s">
        <v>884</v>
      </c>
      <c r="F1" s="9" t="s">
        <v>786</v>
      </c>
      <c r="J1">
        <f>IF(COUNTIF(OFICIAL!$C$90:$D$97, H1) &gt; 0, 1, 0)</f>
        <v>0</v>
      </c>
    </row>
    <row r="2" spans="1:10" ht="18" customHeight="1" thickBot="1" x14ac:dyDescent="0.3">
      <c r="A2" s="2" t="s">
        <v>537</v>
      </c>
      <c r="B2" s="3"/>
      <c r="C2" s="3"/>
      <c r="D2" s="3"/>
      <c r="E2" s="3"/>
      <c r="F2" s="3"/>
    </row>
    <row r="3" spans="1:10" ht="15.75" thickBot="1" x14ac:dyDescent="0.3">
      <c r="A3" t="s">
        <v>1</v>
      </c>
      <c r="B3" t="s">
        <v>142</v>
      </c>
      <c r="C3" t="s">
        <v>23</v>
      </c>
      <c r="D3" t="s">
        <v>143</v>
      </c>
      <c r="E3">
        <f>IF(COUNTIF(OFICIAL!$C$90:$D$97, C3) &gt; 0, 2, 0)</f>
        <v>0</v>
      </c>
      <c r="F3" s="7">
        <f>SUM(E3:E38)</f>
        <v>0</v>
      </c>
    </row>
    <row r="4" spans="1:10" x14ac:dyDescent="0.25">
      <c r="A4" t="s">
        <v>1</v>
      </c>
      <c r="B4" t="s">
        <v>144</v>
      </c>
      <c r="C4" t="s">
        <v>43</v>
      </c>
      <c r="D4" t="s">
        <v>145</v>
      </c>
      <c r="E4">
        <f>IF(COUNTIF(OFICIAL!$C$90:$D$97, C4) &gt; 0, 2, 0)</f>
        <v>0</v>
      </c>
    </row>
    <row r="5" spans="1:10" x14ac:dyDescent="0.25">
      <c r="A5" t="s">
        <v>1</v>
      </c>
      <c r="B5" t="s">
        <v>146</v>
      </c>
      <c r="C5" t="s">
        <v>8</v>
      </c>
      <c r="D5" t="s">
        <v>147</v>
      </c>
      <c r="E5">
        <f>IF(COUNTIF(OFICIAL!$C$90:$D$97, C5) &gt; 0, 2, 0)</f>
        <v>0</v>
      </c>
    </row>
    <row r="6" spans="1:10" x14ac:dyDescent="0.25">
      <c r="A6" t="s">
        <v>1</v>
      </c>
      <c r="B6" t="s">
        <v>148</v>
      </c>
      <c r="C6" t="s">
        <v>26</v>
      </c>
      <c r="D6" t="s">
        <v>149</v>
      </c>
      <c r="E6">
        <f>IF(COUNTIF(OFICIAL!$C$90:$D$97, C6) &gt; 0, 2, 0)</f>
        <v>0</v>
      </c>
    </row>
    <row r="7" spans="1:10" x14ac:dyDescent="0.25">
      <c r="A7" t="s">
        <v>1</v>
      </c>
      <c r="B7" t="s">
        <v>150</v>
      </c>
      <c r="C7" t="s">
        <v>16</v>
      </c>
      <c r="D7" t="s">
        <v>151</v>
      </c>
      <c r="E7">
        <f>IF(COUNTIF(OFICIAL!$C$90:$D$97, C7) &gt; 0, 2, 0)</f>
        <v>0</v>
      </c>
    </row>
    <row r="8" spans="1:10" x14ac:dyDescent="0.25">
      <c r="A8" t="s">
        <v>1</v>
      </c>
      <c r="B8" t="s">
        <v>152</v>
      </c>
      <c r="C8" t="s">
        <v>44</v>
      </c>
      <c r="D8" t="s">
        <v>153</v>
      </c>
      <c r="E8">
        <f>IF(COUNTIF(OFICIAL!$C$90:$D$97, C8) &gt; 0, 2, 0)</f>
        <v>0</v>
      </c>
    </row>
    <row r="9" spans="1:10" x14ac:dyDescent="0.25">
      <c r="A9" t="s">
        <v>1</v>
      </c>
      <c r="B9" t="s">
        <v>154</v>
      </c>
      <c r="C9" t="s">
        <v>3</v>
      </c>
      <c r="D9" t="s">
        <v>155</v>
      </c>
      <c r="E9">
        <f>IF(COUNTIF(OFICIAL!$C$90:$D$97, C9) &gt; 0, 2, 0)</f>
        <v>0</v>
      </c>
    </row>
    <row r="10" spans="1:10" x14ac:dyDescent="0.25">
      <c r="A10" t="s">
        <v>1</v>
      </c>
      <c r="B10" t="s">
        <v>156</v>
      </c>
      <c r="C10" t="s">
        <v>56</v>
      </c>
      <c r="D10" t="s">
        <v>157</v>
      </c>
      <c r="E10">
        <f>IF(COUNTIF(OFICIAL!$C$90:$D$97, C10) &gt; 0, 2, 0)</f>
        <v>0</v>
      </c>
    </row>
    <row r="11" spans="1:10" x14ac:dyDescent="0.25">
      <c r="A11" t="s">
        <v>1</v>
      </c>
      <c r="B11" t="s">
        <v>158</v>
      </c>
      <c r="C11" t="s">
        <v>53</v>
      </c>
      <c r="D11" t="s">
        <v>159</v>
      </c>
      <c r="E11">
        <f>IF(COUNTIF(OFICIAL!$C$90:$D$97, C11) &gt; 0, 2, 0)</f>
        <v>0</v>
      </c>
    </row>
    <row r="12" spans="1:10" x14ac:dyDescent="0.25">
      <c r="A12" t="s">
        <v>1</v>
      </c>
      <c r="B12" t="s">
        <v>160</v>
      </c>
      <c r="C12" t="s">
        <v>33</v>
      </c>
      <c r="D12" t="s">
        <v>161</v>
      </c>
      <c r="E12">
        <f>IF(COUNTIF(OFICIAL!$C$90:$D$97, C12) &gt; 0, 2, 0)</f>
        <v>0</v>
      </c>
    </row>
    <row r="13" spans="1:10" x14ac:dyDescent="0.25">
      <c r="A13" t="s">
        <v>1</v>
      </c>
      <c r="B13" t="s">
        <v>162</v>
      </c>
      <c r="C13" t="s">
        <v>11</v>
      </c>
      <c r="D13" t="s">
        <v>163</v>
      </c>
      <c r="E13">
        <f>IF(COUNTIF(OFICIAL!$C$90:$D$97, C13) &gt; 0, 2, 0)</f>
        <v>0</v>
      </c>
    </row>
    <row r="14" spans="1:10" x14ac:dyDescent="0.25">
      <c r="A14" t="s">
        <v>1</v>
      </c>
      <c r="B14" t="s">
        <v>164</v>
      </c>
      <c r="C14" t="s">
        <v>36</v>
      </c>
      <c r="D14" t="s">
        <v>165</v>
      </c>
      <c r="E14">
        <f>IF(COUNTIF(OFICIAL!$C$90:$D$97, C14) &gt; 0, 2, 0)</f>
        <v>0</v>
      </c>
    </row>
    <row r="15" spans="1:10" x14ac:dyDescent="0.25">
      <c r="A15" t="s">
        <v>1</v>
      </c>
      <c r="B15" t="s">
        <v>166</v>
      </c>
      <c r="C15" t="s">
        <v>14</v>
      </c>
      <c r="D15" t="s">
        <v>167</v>
      </c>
      <c r="E15">
        <f>IF(COUNTIF(OFICIAL!$C$90:$D$97, C15) &gt; 0, 2, 0)</f>
        <v>0</v>
      </c>
    </row>
    <row r="16" spans="1:10" x14ac:dyDescent="0.25">
      <c r="A16" t="s">
        <v>1</v>
      </c>
      <c r="B16" t="s">
        <v>168</v>
      </c>
      <c r="C16" t="s">
        <v>48</v>
      </c>
      <c r="D16" t="s">
        <v>169</v>
      </c>
      <c r="E16">
        <f>IF(COUNTIF(OFICIAL!$C$90:$D$97, C16) &gt; 0, 2, 0)</f>
        <v>0</v>
      </c>
    </row>
    <row r="17" spans="1:6" x14ac:dyDescent="0.25">
      <c r="A17" t="s">
        <v>1</v>
      </c>
      <c r="B17" t="s">
        <v>170</v>
      </c>
      <c r="C17" t="s">
        <v>61</v>
      </c>
      <c r="D17" t="s">
        <v>171</v>
      </c>
      <c r="E17">
        <f>IF(COUNTIF(OFICIAL!$C$90:$D$97, C17) &gt; 0, 2, 0)</f>
        <v>0</v>
      </c>
    </row>
    <row r="18" spans="1:6" x14ac:dyDescent="0.25">
      <c r="A18" t="s">
        <v>1</v>
      </c>
      <c r="B18" t="s">
        <v>172</v>
      </c>
      <c r="C18" t="s">
        <v>37</v>
      </c>
      <c r="D18" t="s">
        <v>173</v>
      </c>
      <c r="E18">
        <f>IF(COUNTIF(OFICIAL!$C$90:$D$97, C18) &gt; 0, 2, 0)</f>
        <v>0</v>
      </c>
    </row>
    <row r="19" spans="1:6" x14ac:dyDescent="0.25">
      <c r="A19" t="s">
        <v>1</v>
      </c>
      <c r="B19" t="s">
        <v>174</v>
      </c>
      <c r="C19" t="s">
        <v>43</v>
      </c>
      <c r="D19" t="s">
        <v>175</v>
      </c>
      <c r="E19">
        <f>IF(COUNTIF(OFICIAL!$C$98:$D$101, C19) &gt; 0, 4, 0)</f>
        <v>0</v>
      </c>
    </row>
    <row r="20" spans="1:6" x14ac:dyDescent="0.25">
      <c r="A20" t="s">
        <v>1</v>
      </c>
      <c r="B20" t="s">
        <v>176</v>
      </c>
      <c r="C20" t="s">
        <v>26</v>
      </c>
      <c r="D20" t="s">
        <v>177</v>
      </c>
      <c r="E20">
        <f>IF(COUNTIF(OFICIAL!$C$98:$D$101, C20) &gt; 0, 4, 0)</f>
        <v>0</v>
      </c>
    </row>
    <row r="21" spans="1:6" x14ac:dyDescent="0.25">
      <c r="A21" t="s">
        <v>1</v>
      </c>
      <c r="B21" t="s">
        <v>178</v>
      </c>
      <c r="C21" t="s">
        <v>16</v>
      </c>
      <c r="D21" t="s">
        <v>179</v>
      </c>
      <c r="E21">
        <f>IF(COUNTIF(OFICIAL!$C$98:$D$101, C21) &gt; 0, 4, 0)</f>
        <v>0</v>
      </c>
    </row>
    <row r="22" spans="1:6" x14ac:dyDescent="0.25">
      <c r="A22" t="s">
        <v>1</v>
      </c>
      <c r="B22" t="s">
        <v>180</v>
      </c>
      <c r="C22" t="s">
        <v>56</v>
      </c>
      <c r="D22" t="s">
        <v>181</v>
      </c>
      <c r="E22">
        <f>IF(COUNTIF(OFICIAL!$C$98:$D$101, C22) &gt; 0, 4, 0)</f>
        <v>0</v>
      </c>
    </row>
    <row r="23" spans="1:6" x14ac:dyDescent="0.25">
      <c r="A23" t="s">
        <v>1</v>
      </c>
      <c r="B23" t="s">
        <v>182</v>
      </c>
      <c r="C23" t="s">
        <v>33</v>
      </c>
      <c r="D23" t="s">
        <v>183</v>
      </c>
      <c r="E23">
        <f>IF(COUNTIF(OFICIAL!$C$98:$D$101, C23) &gt; 0, 4, 0)</f>
        <v>0</v>
      </c>
    </row>
    <row r="24" spans="1:6" x14ac:dyDescent="0.25">
      <c r="A24" t="s">
        <v>1</v>
      </c>
      <c r="B24" t="s">
        <v>184</v>
      </c>
      <c r="C24" t="s">
        <v>11</v>
      </c>
      <c r="D24" t="s">
        <v>185</v>
      </c>
      <c r="E24">
        <f>IF(COUNTIF(OFICIAL!$C$98:$D$101, C24) &gt; 0, 4, 0)</f>
        <v>0</v>
      </c>
    </row>
    <row r="25" spans="1:6" x14ac:dyDescent="0.25">
      <c r="A25" t="s">
        <v>1</v>
      </c>
      <c r="B25" t="s">
        <v>122</v>
      </c>
      <c r="C25" t="s">
        <v>48</v>
      </c>
      <c r="D25" t="s">
        <v>123</v>
      </c>
      <c r="E25">
        <f>IF(COUNTIF(OFICIAL!$C$98:$D$101, C25) &gt; 0, 4, 0)</f>
        <v>0</v>
      </c>
    </row>
    <row r="26" spans="1:6" x14ac:dyDescent="0.25">
      <c r="A26" t="s">
        <v>1</v>
      </c>
      <c r="B26" t="s">
        <v>124</v>
      </c>
      <c r="C26" t="s">
        <v>61</v>
      </c>
      <c r="D26" t="s">
        <v>125</v>
      </c>
      <c r="E26">
        <f>IF(COUNTIF(OFICIAL!$C$98:$D$101, C26) &gt; 0, 4, 0)</f>
        <v>0</v>
      </c>
    </row>
    <row r="27" spans="1:6" x14ac:dyDescent="0.25">
      <c r="A27" t="s">
        <v>1</v>
      </c>
      <c r="B27" t="s">
        <v>126</v>
      </c>
      <c r="C27" t="s">
        <v>43</v>
      </c>
      <c r="D27" t="s">
        <v>127</v>
      </c>
      <c r="E27">
        <f>IF(COUNTIF(OFICIAL!$C$102:$D$103, C27) &gt; 0, 8, 0)</f>
        <v>0</v>
      </c>
    </row>
    <row r="28" spans="1:6" x14ac:dyDescent="0.25">
      <c r="A28" t="s">
        <v>1</v>
      </c>
      <c r="B28" t="s">
        <v>128</v>
      </c>
      <c r="C28" t="s">
        <v>56</v>
      </c>
      <c r="D28" t="s">
        <v>129</v>
      </c>
      <c r="E28">
        <f>IF(COUNTIF(OFICIAL!$C$102:$D$103, C28) &gt; 0, 8, 0)</f>
        <v>0</v>
      </c>
    </row>
    <row r="29" spans="1:6" x14ac:dyDescent="0.25">
      <c r="A29" t="s">
        <v>1</v>
      </c>
      <c r="B29" t="s">
        <v>130</v>
      </c>
      <c r="C29" t="s">
        <v>33</v>
      </c>
      <c r="D29" t="s">
        <v>131</v>
      </c>
      <c r="E29">
        <f>IF(COUNTIF(OFICIAL!$C$102:$D$103, C29) &gt; 0, 8, 0)</f>
        <v>0</v>
      </c>
    </row>
    <row r="30" spans="1:6" x14ac:dyDescent="0.25">
      <c r="A30" t="s">
        <v>1</v>
      </c>
      <c r="B30" t="s">
        <v>132</v>
      </c>
      <c r="C30" t="s">
        <v>48</v>
      </c>
      <c r="D30" t="s">
        <v>133</v>
      </c>
      <c r="E30">
        <f>IF(COUNTIF(OFICIAL!$C$102:$D$103, C30) &gt; 0, 8, 0)</f>
        <v>0</v>
      </c>
    </row>
    <row r="31" spans="1:6" x14ac:dyDescent="0.25">
      <c r="A31" t="s">
        <v>1</v>
      </c>
      <c r="B31" t="s">
        <v>134</v>
      </c>
      <c r="C31" t="s">
        <v>43</v>
      </c>
      <c r="D31" t="s">
        <v>135</v>
      </c>
      <c r="E31">
        <v>0</v>
      </c>
      <c r="F31" t="s">
        <v>887</v>
      </c>
    </row>
    <row r="32" spans="1:6" x14ac:dyDescent="0.25">
      <c r="A32" t="s">
        <v>1</v>
      </c>
      <c r="B32" t="s">
        <v>136</v>
      </c>
      <c r="C32" t="s">
        <v>48</v>
      </c>
      <c r="D32" t="s">
        <v>137</v>
      </c>
      <c r="E32">
        <v>0</v>
      </c>
      <c r="F32" t="s">
        <v>887</v>
      </c>
    </row>
    <row r="33" spans="1:6" x14ac:dyDescent="0.25">
      <c r="A33" t="s">
        <v>1</v>
      </c>
      <c r="B33" t="s">
        <v>138</v>
      </c>
      <c r="C33" t="s">
        <v>56</v>
      </c>
      <c r="D33" t="s">
        <v>139</v>
      </c>
      <c r="E33">
        <f>IF(COUNTIF(OFICIAL!$C$105:$D$105, C33) &gt; 0, 10, 0)</f>
        <v>0</v>
      </c>
    </row>
    <row r="34" spans="1:6" x14ac:dyDescent="0.25">
      <c r="A34" t="s">
        <v>1</v>
      </c>
      <c r="B34" t="s">
        <v>140</v>
      </c>
      <c r="C34" t="s">
        <v>33</v>
      </c>
      <c r="D34" t="s">
        <v>141</v>
      </c>
      <c r="E34">
        <f>IF(COUNTIF(OFICIAL!$C$105:$D$105, C34) &gt; 0, 10, 0)</f>
        <v>0</v>
      </c>
    </row>
    <row r="35" spans="1:6" x14ac:dyDescent="0.25">
      <c r="A35" t="s">
        <v>1</v>
      </c>
      <c r="B35" t="s">
        <v>186</v>
      </c>
      <c r="C35" t="s">
        <v>33</v>
      </c>
      <c r="D35" t="s">
        <v>187</v>
      </c>
      <c r="E35">
        <f>IF(C35=OFICIAL!K5, 20, 0)</f>
        <v>0</v>
      </c>
    </row>
    <row r="36" spans="1:6" x14ac:dyDescent="0.25">
      <c r="A36" t="s">
        <v>1</v>
      </c>
      <c r="B36" t="s">
        <v>188</v>
      </c>
      <c r="C36" t="s">
        <v>56</v>
      </c>
      <c r="D36" t="s">
        <v>189</v>
      </c>
      <c r="E36">
        <v>0</v>
      </c>
      <c r="F36" t="s">
        <v>887</v>
      </c>
    </row>
    <row r="37" spans="1:6" x14ac:dyDescent="0.25">
      <c r="A37" t="s">
        <v>1</v>
      </c>
      <c r="B37" t="s">
        <v>190</v>
      </c>
      <c r="C37" t="s">
        <v>48</v>
      </c>
      <c r="D37" t="s">
        <v>191</v>
      </c>
      <c r="E37">
        <f>IF(C37=OFICIAL!M5, 12, 0)</f>
        <v>0</v>
      </c>
    </row>
    <row r="38" spans="1:6" x14ac:dyDescent="0.25">
      <c r="A38" t="s">
        <v>1</v>
      </c>
      <c r="B38" t="s">
        <v>192</v>
      </c>
      <c r="C38" t="s">
        <v>43</v>
      </c>
      <c r="D38" t="s">
        <v>193</v>
      </c>
      <c r="E38">
        <v>0</v>
      </c>
      <c r="F38" t="s">
        <v>887</v>
      </c>
    </row>
    <row r="40" spans="1:6" ht="18" customHeight="1" thickBot="1" x14ac:dyDescent="0.3">
      <c r="A40" s="2" t="s">
        <v>538</v>
      </c>
      <c r="B40" s="3"/>
      <c r="C40" s="3"/>
      <c r="D40" s="3"/>
      <c r="E40" s="3"/>
      <c r="F40" s="3"/>
    </row>
    <row r="41" spans="1:6" ht="15.75" thickBot="1" x14ac:dyDescent="0.3">
      <c r="A41" t="s">
        <v>63</v>
      </c>
      <c r="B41" t="s">
        <v>142</v>
      </c>
      <c r="C41" t="s">
        <v>23</v>
      </c>
      <c r="D41" t="s">
        <v>204</v>
      </c>
      <c r="E41">
        <f>IF(COUNTIF(OFICIAL!$C$90:$D$97, C41) &gt; 0, 2, 0)</f>
        <v>0</v>
      </c>
      <c r="F41" s="7">
        <f>SUM(E41:E76)</f>
        <v>0</v>
      </c>
    </row>
    <row r="42" spans="1:6" x14ac:dyDescent="0.25">
      <c r="A42" t="s">
        <v>63</v>
      </c>
      <c r="B42" t="s">
        <v>144</v>
      </c>
      <c r="C42" t="s">
        <v>43</v>
      </c>
      <c r="D42" t="s">
        <v>205</v>
      </c>
      <c r="E42">
        <f>IF(COUNTIF(OFICIAL!$C$90:$D$97, C42) &gt; 0, 2, 0)</f>
        <v>0</v>
      </c>
    </row>
    <row r="43" spans="1:6" x14ac:dyDescent="0.25">
      <c r="A43" t="s">
        <v>63</v>
      </c>
      <c r="B43" t="s">
        <v>146</v>
      </c>
      <c r="C43" t="s">
        <v>14</v>
      </c>
      <c r="D43" t="s">
        <v>206</v>
      </c>
      <c r="E43">
        <f>IF(COUNTIF(OFICIAL!$C$90:$D$97, C43) &gt; 0, 2, 0)</f>
        <v>0</v>
      </c>
    </row>
    <row r="44" spans="1:6" x14ac:dyDescent="0.25">
      <c r="A44" t="s">
        <v>63</v>
      </c>
      <c r="B44" t="s">
        <v>148</v>
      </c>
      <c r="C44" t="s">
        <v>26</v>
      </c>
      <c r="D44" t="s">
        <v>207</v>
      </c>
      <c r="E44">
        <f>IF(COUNTIF(OFICIAL!$C$90:$D$97, C44) &gt; 0, 2, 0)</f>
        <v>0</v>
      </c>
    </row>
    <row r="45" spans="1:6" x14ac:dyDescent="0.25">
      <c r="A45" t="s">
        <v>63</v>
      </c>
      <c r="B45" t="s">
        <v>150</v>
      </c>
      <c r="C45" t="s">
        <v>17</v>
      </c>
      <c r="D45" t="s">
        <v>208</v>
      </c>
      <c r="E45">
        <f>IF(COUNTIF(OFICIAL!$C$90:$D$97, C45) &gt; 0, 2, 0)</f>
        <v>0</v>
      </c>
    </row>
    <row r="46" spans="1:6" x14ac:dyDescent="0.25">
      <c r="A46" t="s">
        <v>63</v>
      </c>
      <c r="B46" t="s">
        <v>152</v>
      </c>
      <c r="C46" t="s">
        <v>46</v>
      </c>
      <c r="D46" t="s">
        <v>209</v>
      </c>
      <c r="E46">
        <f>IF(COUNTIF(OFICIAL!$C$90:$D$97, C46) &gt; 0, 2, 0)</f>
        <v>0</v>
      </c>
    </row>
    <row r="47" spans="1:6" x14ac:dyDescent="0.25">
      <c r="A47" t="s">
        <v>63</v>
      </c>
      <c r="B47" t="s">
        <v>154</v>
      </c>
      <c r="C47" t="s">
        <v>3</v>
      </c>
      <c r="D47" t="s">
        <v>210</v>
      </c>
      <c r="E47">
        <f>IF(COUNTIF(OFICIAL!$C$90:$D$97, C47) &gt; 0, 2, 0)</f>
        <v>0</v>
      </c>
    </row>
    <row r="48" spans="1:6" x14ac:dyDescent="0.25">
      <c r="A48" t="s">
        <v>63</v>
      </c>
      <c r="B48" t="s">
        <v>156</v>
      </c>
      <c r="C48" t="s">
        <v>56</v>
      </c>
      <c r="D48" t="s">
        <v>211</v>
      </c>
      <c r="E48">
        <f>IF(COUNTIF(OFICIAL!$C$90:$D$97, C48) &gt; 0, 2, 0)</f>
        <v>0</v>
      </c>
    </row>
    <row r="49" spans="1:5" x14ac:dyDescent="0.25">
      <c r="A49" t="s">
        <v>63</v>
      </c>
      <c r="B49" t="s">
        <v>158</v>
      </c>
      <c r="C49" t="s">
        <v>57</v>
      </c>
      <c r="D49" t="s">
        <v>212</v>
      </c>
      <c r="E49">
        <f>IF(COUNTIF(OFICIAL!$C$90:$D$97, C49) &gt; 0, 2, 0)</f>
        <v>0</v>
      </c>
    </row>
    <row r="50" spans="1:5" x14ac:dyDescent="0.25">
      <c r="A50" t="s">
        <v>63</v>
      </c>
      <c r="B50" t="s">
        <v>160</v>
      </c>
      <c r="C50" t="s">
        <v>33</v>
      </c>
      <c r="D50" t="s">
        <v>213</v>
      </c>
      <c r="E50">
        <f>IF(COUNTIF(OFICIAL!$C$90:$D$97, C50) &gt; 0, 2, 0)</f>
        <v>0</v>
      </c>
    </row>
    <row r="51" spans="1:5" x14ac:dyDescent="0.25">
      <c r="A51" t="s">
        <v>63</v>
      </c>
      <c r="B51" t="s">
        <v>162</v>
      </c>
      <c r="C51" t="s">
        <v>21</v>
      </c>
      <c r="D51" t="s">
        <v>214</v>
      </c>
      <c r="E51">
        <f>IF(COUNTIF(OFICIAL!$C$90:$D$97, C51) &gt; 0, 2, 0)</f>
        <v>0</v>
      </c>
    </row>
    <row r="52" spans="1:5" x14ac:dyDescent="0.25">
      <c r="A52" t="s">
        <v>63</v>
      </c>
      <c r="B52" t="s">
        <v>164</v>
      </c>
      <c r="C52" t="s">
        <v>36</v>
      </c>
      <c r="D52" t="s">
        <v>215</v>
      </c>
      <c r="E52">
        <f>IF(COUNTIF(OFICIAL!$C$90:$D$97, C52) &gt; 0, 2, 0)</f>
        <v>0</v>
      </c>
    </row>
    <row r="53" spans="1:5" x14ac:dyDescent="0.25">
      <c r="A53" t="s">
        <v>63</v>
      </c>
      <c r="B53" t="s">
        <v>166</v>
      </c>
      <c r="C53" t="s">
        <v>29</v>
      </c>
      <c r="D53" t="s">
        <v>216</v>
      </c>
      <c r="E53">
        <f>IF(COUNTIF(OFICIAL!$C$90:$D$97, C53) &gt; 0, 2, 0)</f>
        <v>0</v>
      </c>
    </row>
    <row r="54" spans="1:5" x14ac:dyDescent="0.25">
      <c r="A54" t="s">
        <v>63</v>
      </c>
      <c r="B54" t="s">
        <v>168</v>
      </c>
      <c r="C54" t="s">
        <v>48</v>
      </c>
      <c r="D54" t="s">
        <v>217</v>
      </c>
      <c r="E54">
        <f>IF(COUNTIF(OFICIAL!$C$90:$D$97, C54) &gt; 0, 2, 0)</f>
        <v>0</v>
      </c>
    </row>
    <row r="55" spans="1:5" x14ac:dyDescent="0.25">
      <c r="A55" t="s">
        <v>63</v>
      </c>
      <c r="B55" t="s">
        <v>170</v>
      </c>
      <c r="C55" t="s">
        <v>53</v>
      </c>
      <c r="D55" t="s">
        <v>218</v>
      </c>
      <c r="E55">
        <f>IF(COUNTIF(OFICIAL!$C$90:$D$97, C55) &gt; 0, 2, 0)</f>
        <v>0</v>
      </c>
    </row>
    <row r="56" spans="1:5" x14ac:dyDescent="0.25">
      <c r="A56" t="s">
        <v>63</v>
      </c>
      <c r="B56" t="s">
        <v>172</v>
      </c>
      <c r="C56" t="s">
        <v>11</v>
      </c>
      <c r="D56" t="s">
        <v>219</v>
      </c>
      <c r="E56">
        <f>IF(COUNTIF(OFICIAL!$C$90:$D$97, C56) &gt; 0, 2, 0)</f>
        <v>0</v>
      </c>
    </row>
    <row r="57" spans="1:5" x14ac:dyDescent="0.25">
      <c r="A57" t="s">
        <v>63</v>
      </c>
      <c r="B57" t="s">
        <v>174</v>
      </c>
      <c r="C57" t="s">
        <v>43</v>
      </c>
      <c r="D57" t="s">
        <v>220</v>
      </c>
      <c r="E57">
        <f>IF(COUNTIF(OFICIAL!$C$98:$D$101, C57) &gt; 0, 4, 0)</f>
        <v>0</v>
      </c>
    </row>
    <row r="58" spans="1:5" x14ac:dyDescent="0.25">
      <c r="A58" t="s">
        <v>63</v>
      </c>
      <c r="B58" t="s">
        <v>176</v>
      </c>
      <c r="C58" t="s">
        <v>26</v>
      </c>
      <c r="D58" t="s">
        <v>221</v>
      </c>
      <c r="E58">
        <f>IF(COUNTIF(OFICIAL!$C$98:$D$101, C58) &gt; 0, 4, 0)</f>
        <v>0</v>
      </c>
    </row>
    <row r="59" spans="1:5" x14ac:dyDescent="0.25">
      <c r="A59" t="s">
        <v>63</v>
      </c>
      <c r="B59" t="s">
        <v>178</v>
      </c>
      <c r="C59" t="s">
        <v>17</v>
      </c>
      <c r="D59" t="s">
        <v>222</v>
      </c>
      <c r="E59">
        <f>IF(COUNTIF(OFICIAL!$C$98:$D$101, C59) &gt; 0, 4, 0)</f>
        <v>0</v>
      </c>
    </row>
    <row r="60" spans="1:5" x14ac:dyDescent="0.25">
      <c r="A60" t="s">
        <v>63</v>
      </c>
      <c r="B60" t="s">
        <v>180</v>
      </c>
      <c r="C60" t="s">
        <v>56</v>
      </c>
      <c r="D60" t="s">
        <v>223</v>
      </c>
      <c r="E60">
        <f>IF(COUNTIF(OFICIAL!$C$98:$D$101, C60) &gt; 0, 4, 0)</f>
        <v>0</v>
      </c>
    </row>
    <row r="61" spans="1:5" x14ac:dyDescent="0.25">
      <c r="A61" t="s">
        <v>63</v>
      </c>
      <c r="B61" t="s">
        <v>182</v>
      </c>
      <c r="C61" t="s">
        <v>33</v>
      </c>
      <c r="D61" t="s">
        <v>224</v>
      </c>
      <c r="E61">
        <f>IF(COUNTIF(OFICIAL!$C$98:$D$101, C61) &gt; 0, 4, 0)</f>
        <v>0</v>
      </c>
    </row>
    <row r="62" spans="1:5" x14ac:dyDescent="0.25">
      <c r="A62" t="s">
        <v>63</v>
      </c>
      <c r="B62" t="s">
        <v>184</v>
      </c>
      <c r="C62" t="s">
        <v>21</v>
      </c>
      <c r="D62" t="s">
        <v>225</v>
      </c>
      <c r="E62">
        <f>IF(COUNTIF(OFICIAL!$C$98:$D$101, C62) &gt; 0, 4, 0)</f>
        <v>0</v>
      </c>
    </row>
    <row r="63" spans="1:5" x14ac:dyDescent="0.25">
      <c r="A63" t="s">
        <v>63</v>
      </c>
      <c r="B63" t="s">
        <v>122</v>
      </c>
      <c r="C63" t="s">
        <v>48</v>
      </c>
      <c r="D63" t="s">
        <v>194</v>
      </c>
      <c r="E63">
        <f>IF(COUNTIF(OFICIAL!$C$98:$D$101, C63) &gt; 0, 4, 0)</f>
        <v>0</v>
      </c>
    </row>
    <row r="64" spans="1:5" x14ac:dyDescent="0.25">
      <c r="A64" t="s">
        <v>63</v>
      </c>
      <c r="B64" t="s">
        <v>124</v>
      </c>
      <c r="C64" t="s">
        <v>53</v>
      </c>
      <c r="D64" t="s">
        <v>195</v>
      </c>
      <c r="E64">
        <f>IF(COUNTIF(OFICIAL!$C$98:$D$101, C64) &gt; 0, 4, 0)</f>
        <v>0</v>
      </c>
    </row>
    <row r="65" spans="1:6" x14ac:dyDescent="0.25">
      <c r="A65" t="s">
        <v>63</v>
      </c>
      <c r="B65" t="s">
        <v>126</v>
      </c>
      <c r="C65" t="s">
        <v>43</v>
      </c>
      <c r="D65" t="s">
        <v>196</v>
      </c>
      <c r="E65">
        <f>IF(COUNTIF(OFICIAL!$C$102:$D$103, C65) &gt; 0, 8, 0)</f>
        <v>0</v>
      </c>
    </row>
    <row r="66" spans="1:6" x14ac:dyDescent="0.25">
      <c r="A66" t="s">
        <v>63</v>
      </c>
      <c r="B66" t="s">
        <v>128</v>
      </c>
      <c r="C66" t="s">
        <v>17</v>
      </c>
      <c r="D66" t="s">
        <v>197</v>
      </c>
      <c r="E66">
        <f>IF(COUNTIF(OFICIAL!$C$102:$D$103, C66) &gt; 0, 8, 0)</f>
        <v>0</v>
      </c>
    </row>
    <row r="67" spans="1:6" x14ac:dyDescent="0.25">
      <c r="A67" t="s">
        <v>63</v>
      </c>
      <c r="B67" t="s">
        <v>130</v>
      </c>
      <c r="C67" t="s">
        <v>33</v>
      </c>
      <c r="D67" t="s">
        <v>198</v>
      </c>
      <c r="E67">
        <f>IF(COUNTIF(OFICIAL!$C$102:$D$103, C67) &gt; 0, 8, 0)</f>
        <v>0</v>
      </c>
    </row>
    <row r="68" spans="1:6" x14ac:dyDescent="0.25">
      <c r="A68" t="s">
        <v>63</v>
      </c>
      <c r="B68" t="s">
        <v>132</v>
      </c>
      <c r="C68" t="s">
        <v>53</v>
      </c>
      <c r="D68" t="s">
        <v>199</v>
      </c>
      <c r="E68">
        <f>IF(COUNTIF(OFICIAL!$C$102:$D$103, C68) &gt; 0, 8, 0)</f>
        <v>0</v>
      </c>
    </row>
    <row r="69" spans="1:6" x14ac:dyDescent="0.25">
      <c r="A69" t="s">
        <v>63</v>
      </c>
      <c r="B69" t="s">
        <v>134</v>
      </c>
      <c r="C69" t="s">
        <v>17</v>
      </c>
      <c r="D69" t="s">
        <v>200</v>
      </c>
      <c r="E69">
        <v>0</v>
      </c>
      <c r="F69" t="s">
        <v>887</v>
      </c>
    </row>
    <row r="70" spans="1:6" x14ac:dyDescent="0.25">
      <c r="A70" t="s">
        <v>63</v>
      </c>
      <c r="B70" t="s">
        <v>136</v>
      </c>
      <c r="C70" t="s">
        <v>33</v>
      </c>
      <c r="D70" t="s">
        <v>201</v>
      </c>
      <c r="E70">
        <v>0</v>
      </c>
      <c r="F70" t="s">
        <v>887</v>
      </c>
    </row>
    <row r="71" spans="1:6" x14ac:dyDescent="0.25">
      <c r="A71" t="s">
        <v>63</v>
      </c>
      <c r="B71" t="s">
        <v>138</v>
      </c>
      <c r="C71" t="s">
        <v>43</v>
      </c>
      <c r="D71" t="s">
        <v>202</v>
      </c>
      <c r="E71">
        <f>IF(COUNTIF(OFICIAL!$C$105:$D$105, C71) &gt; 0, 10, 0)</f>
        <v>0</v>
      </c>
    </row>
    <row r="72" spans="1:6" x14ac:dyDescent="0.25">
      <c r="A72" t="s">
        <v>63</v>
      </c>
      <c r="B72" t="s">
        <v>140</v>
      </c>
      <c r="C72" t="s">
        <v>53</v>
      </c>
      <c r="D72" t="s">
        <v>203</v>
      </c>
      <c r="E72">
        <f>IF(COUNTIF(OFICIAL!$C$105:$D$105, C72) &gt; 0, 10, 0)</f>
        <v>0</v>
      </c>
    </row>
    <row r="73" spans="1:6" x14ac:dyDescent="0.25">
      <c r="A73" t="s">
        <v>63</v>
      </c>
      <c r="B73" t="s">
        <v>186</v>
      </c>
      <c r="C73" t="s">
        <v>53</v>
      </c>
      <c r="D73" t="s">
        <v>226</v>
      </c>
      <c r="E73">
        <f>IF(C73=OFICIAL!K5, 20, 0)</f>
        <v>0</v>
      </c>
    </row>
    <row r="74" spans="1:6" x14ac:dyDescent="0.25">
      <c r="A74" t="s">
        <v>63</v>
      </c>
      <c r="B74" t="s">
        <v>188</v>
      </c>
      <c r="C74" t="s">
        <v>43</v>
      </c>
      <c r="D74" t="s">
        <v>227</v>
      </c>
      <c r="E74">
        <v>0</v>
      </c>
      <c r="F74" t="s">
        <v>887</v>
      </c>
    </row>
    <row r="75" spans="1:6" x14ac:dyDescent="0.25">
      <c r="A75" t="s">
        <v>63</v>
      </c>
      <c r="B75" t="s">
        <v>190</v>
      </c>
      <c r="C75" t="s">
        <v>33</v>
      </c>
      <c r="D75" t="s">
        <v>228</v>
      </c>
      <c r="E75">
        <f>IF(C75=OFICIAL!M5, 12, 0)</f>
        <v>0</v>
      </c>
    </row>
    <row r="76" spans="1:6" x14ac:dyDescent="0.25">
      <c r="A76" t="s">
        <v>63</v>
      </c>
      <c r="B76" t="s">
        <v>192</v>
      </c>
      <c r="C76" t="s">
        <v>17</v>
      </c>
      <c r="D76" t="s">
        <v>229</v>
      </c>
      <c r="E76">
        <v>0</v>
      </c>
      <c r="F76" t="s">
        <v>887</v>
      </c>
    </row>
    <row r="78" spans="1:6" ht="18" customHeight="1" thickBot="1" x14ac:dyDescent="0.3">
      <c r="A78" s="2" t="s">
        <v>539</v>
      </c>
      <c r="B78" s="3"/>
      <c r="C78" s="3"/>
      <c r="D78" s="3"/>
      <c r="E78" s="3"/>
      <c r="F78" s="3"/>
    </row>
    <row r="79" spans="1:6" ht="15.75" thickBot="1" x14ac:dyDescent="0.3">
      <c r="A79" t="s">
        <v>65</v>
      </c>
      <c r="B79" t="s">
        <v>142</v>
      </c>
      <c r="C79" t="s">
        <v>23</v>
      </c>
      <c r="D79" t="s">
        <v>240</v>
      </c>
      <c r="E79">
        <f>IF(COUNTIF(OFICIAL!$C$90:$D$97, C79) &gt; 0, 1, 0)</f>
        <v>0</v>
      </c>
      <c r="F79" s="7">
        <f>SUM(E79:E114)</f>
        <v>0</v>
      </c>
    </row>
    <row r="80" spans="1:6" x14ac:dyDescent="0.25">
      <c r="A80" t="s">
        <v>65</v>
      </c>
      <c r="B80" t="s">
        <v>144</v>
      </c>
      <c r="C80" t="s">
        <v>43</v>
      </c>
      <c r="D80" t="s">
        <v>241</v>
      </c>
      <c r="E80">
        <f>IF(COUNTIF(OFICIAL!$C$90:$D$97, C80) &gt; 0, 1, 0)</f>
        <v>0</v>
      </c>
    </row>
    <row r="81" spans="1:5" x14ac:dyDescent="0.25">
      <c r="A81" t="s">
        <v>65</v>
      </c>
      <c r="B81" t="s">
        <v>146</v>
      </c>
      <c r="C81" t="s">
        <v>8</v>
      </c>
      <c r="D81" t="s">
        <v>242</v>
      </c>
      <c r="E81">
        <f>IF(COUNTIF(OFICIAL!$C$90:$D$97, C81) &gt; 0, 1, 0)</f>
        <v>0</v>
      </c>
    </row>
    <row r="82" spans="1:5" x14ac:dyDescent="0.25">
      <c r="A82" t="s">
        <v>65</v>
      </c>
      <c r="B82" t="s">
        <v>148</v>
      </c>
      <c r="C82" t="s">
        <v>26</v>
      </c>
      <c r="D82" t="s">
        <v>243</v>
      </c>
      <c r="E82">
        <f>IF(COUNTIF(OFICIAL!$C$90:$D$97, C82) &gt; 0, 1, 0)</f>
        <v>0</v>
      </c>
    </row>
    <row r="83" spans="1:5" x14ac:dyDescent="0.25">
      <c r="A83" t="s">
        <v>65</v>
      </c>
      <c r="B83" t="s">
        <v>150</v>
      </c>
      <c r="C83" t="s">
        <v>16</v>
      </c>
      <c r="D83" t="s">
        <v>244</v>
      </c>
      <c r="E83">
        <f>IF(COUNTIF(OFICIAL!$C$90:$D$97, C83) &gt; 0, 1, 0)</f>
        <v>0</v>
      </c>
    </row>
    <row r="84" spans="1:5" x14ac:dyDescent="0.25">
      <c r="A84" t="s">
        <v>65</v>
      </c>
      <c r="B84" t="s">
        <v>152</v>
      </c>
      <c r="C84" t="s">
        <v>29</v>
      </c>
      <c r="D84" t="s">
        <v>245</v>
      </c>
      <c r="E84">
        <f>IF(COUNTIF(OFICIAL!$C$90:$D$97, C84) &gt; 0, 1, 0)</f>
        <v>0</v>
      </c>
    </row>
    <row r="85" spans="1:5" x14ac:dyDescent="0.25">
      <c r="A85" t="s">
        <v>65</v>
      </c>
      <c r="B85" t="s">
        <v>154</v>
      </c>
      <c r="C85" t="s">
        <v>3</v>
      </c>
      <c r="D85" t="s">
        <v>246</v>
      </c>
      <c r="E85">
        <f>IF(COUNTIF(OFICIAL!$C$90:$D$97, C85) &gt; 0, 1, 0)</f>
        <v>0</v>
      </c>
    </row>
    <row r="86" spans="1:5" x14ac:dyDescent="0.25">
      <c r="A86" t="s">
        <v>65</v>
      </c>
      <c r="B86" t="s">
        <v>156</v>
      </c>
      <c r="C86" t="s">
        <v>56</v>
      </c>
      <c r="D86" t="s">
        <v>247</v>
      </c>
      <c r="E86">
        <f>IF(COUNTIF(OFICIAL!$C$90:$D$97, C86) &gt; 0, 1, 0)</f>
        <v>0</v>
      </c>
    </row>
    <row r="87" spans="1:5" x14ac:dyDescent="0.25">
      <c r="A87" t="s">
        <v>65</v>
      </c>
      <c r="B87" t="s">
        <v>158</v>
      </c>
      <c r="C87" t="s">
        <v>61</v>
      </c>
      <c r="D87" t="s">
        <v>248</v>
      </c>
      <c r="E87">
        <f>IF(COUNTIF(OFICIAL!$C$90:$D$97, C87) &gt; 0, 1, 0)</f>
        <v>0</v>
      </c>
    </row>
    <row r="88" spans="1:5" x14ac:dyDescent="0.25">
      <c r="A88" t="s">
        <v>65</v>
      </c>
      <c r="B88" t="s">
        <v>160</v>
      </c>
      <c r="C88" t="s">
        <v>33</v>
      </c>
      <c r="D88" t="s">
        <v>249</v>
      </c>
      <c r="E88">
        <f>IF(COUNTIF(OFICIAL!$C$90:$D$97, C88) &gt; 0, 1, 0)</f>
        <v>0</v>
      </c>
    </row>
    <row r="89" spans="1:5" x14ac:dyDescent="0.25">
      <c r="A89" t="s">
        <v>65</v>
      </c>
      <c r="B89" t="s">
        <v>162</v>
      </c>
      <c r="C89" t="s">
        <v>11</v>
      </c>
      <c r="D89" t="s">
        <v>250</v>
      </c>
      <c r="E89">
        <f>IF(COUNTIF(OFICIAL!$C$90:$D$97, C89) &gt; 0, 1, 0)</f>
        <v>0</v>
      </c>
    </row>
    <row r="90" spans="1:5" x14ac:dyDescent="0.25">
      <c r="A90" t="s">
        <v>65</v>
      </c>
      <c r="B90" t="s">
        <v>164</v>
      </c>
      <c r="C90" t="s">
        <v>36</v>
      </c>
      <c r="D90" t="s">
        <v>251</v>
      </c>
      <c r="E90">
        <f>IF(COUNTIF(OFICIAL!$C$90:$D$97, C90) &gt; 0, 1, 0)</f>
        <v>0</v>
      </c>
    </row>
    <row r="91" spans="1:5" x14ac:dyDescent="0.25">
      <c r="A91" t="s">
        <v>65</v>
      </c>
      <c r="B91" t="s">
        <v>166</v>
      </c>
      <c r="C91" t="s">
        <v>46</v>
      </c>
      <c r="D91" t="s">
        <v>252</v>
      </c>
      <c r="E91">
        <f>IF(COUNTIF(OFICIAL!$C$90:$D$97, C91) &gt; 0, 1, 0)</f>
        <v>0</v>
      </c>
    </row>
    <row r="92" spans="1:5" x14ac:dyDescent="0.25">
      <c r="A92" t="s">
        <v>65</v>
      </c>
      <c r="B92" t="s">
        <v>168</v>
      </c>
      <c r="C92" t="s">
        <v>48</v>
      </c>
      <c r="D92" t="s">
        <v>253</v>
      </c>
      <c r="E92">
        <f>IF(COUNTIF(OFICIAL!$C$90:$D$97, C92) &gt; 0, 1, 0)</f>
        <v>0</v>
      </c>
    </row>
    <row r="93" spans="1:5" x14ac:dyDescent="0.25">
      <c r="A93" t="s">
        <v>65</v>
      </c>
      <c r="B93" t="s">
        <v>170</v>
      </c>
      <c r="C93" t="s">
        <v>53</v>
      </c>
      <c r="D93" t="s">
        <v>254</v>
      </c>
      <c r="E93">
        <f>IF(COUNTIF(OFICIAL!$C$90:$D$97, C93) &gt; 0, 1, 0)</f>
        <v>0</v>
      </c>
    </row>
    <row r="94" spans="1:5" x14ac:dyDescent="0.25">
      <c r="A94" t="s">
        <v>65</v>
      </c>
      <c r="B94" t="s">
        <v>172</v>
      </c>
      <c r="C94" t="s">
        <v>21</v>
      </c>
      <c r="D94" t="s">
        <v>255</v>
      </c>
      <c r="E94">
        <f>IF(COUNTIF(OFICIAL!$C$90:$D$97, C94) &gt; 0, 1, 0)</f>
        <v>0</v>
      </c>
    </row>
    <row r="95" spans="1:5" x14ac:dyDescent="0.25">
      <c r="A95" t="s">
        <v>65</v>
      </c>
      <c r="B95" t="s">
        <v>174</v>
      </c>
      <c r="C95" t="s">
        <v>43</v>
      </c>
      <c r="D95" t="s">
        <v>256</v>
      </c>
      <c r="E95">
        <f>IF(COUNTIF(OFICIAL!$C$98:$D$101, C95) &gt; 0, 1, 0)</f>
        <v>0</v>
      </c>
    </row>
    <row r="96" spans="1:5" x14ac:dyDescent="0.25">
      <c r="A96" t="s">
        <v>65</v>
      </c>
      <c r="B96" t="s">
        <v>176</v>
      </c>
      <c r="C96" t="s">
        <v>26</v>
      </c>
      <c r="D96" t="s">
        <v>257</v>
      </c>
      <c r="E96">
        <f>IF(COUNTIF(OFICIAL!$C$98:$D$101, C96) &gt; 0, 1, 0)</f>
        <v>0</v>
      </c>
    </row>
    <row r="97" spans="1:6" x14ac:dyDescent="0.25">
      <c r="A97" t="s">
        <v>65</v>
      </c>
      <c r="B97" t="s">
        <v>178</v>
      </c>
      <c r="C97" t="s">
        <v>16</v>
      </c>
      <c r="D97" t="s">
        <v>258</v>
      </c>
      <c r="E97">
        <f>IF(COUNTIF(OFICIAL!$C$98:$D$101, C97) &gt; 0, 1, 0)</f>
        <v>0</v>
      </c>
    </row>
    <row r="98" spans="1:6" x14ac:dyDescent="0.25">
      <c r="A98" t="s">
        <v>65</v>
      </c>
      <c r="B98" t="s">
        <v>180</v>
      </c>
      <c r="C98" t="s">
        <v>56</v>
      </c>
      <c r="D98" t="s">
        <v>259</v>
      </c>
      <c r="E98">
        <f>IF(COUNTIF(OFICIAL!$C$98:$D$101, C98) &gt; 0, 1, 0)</f>
        <v>0</v>
      </c>
    </row>
    <row r="99" spans="1:6" x14ac:dyDescent="0.25">
      <c r="A99" t="s">
        <v>65</v>
      </c>
      <c r="B99" t="s">
        <v>182</v>
      </c>
      <c r="C99" t="s">
        <v>33</v>
      </c>
      <c r="D99" t="s">
        <v>260</v>
      </c>
      <c r="E99">
        <f>IF(COUNTIF(OFICIAL!$C$98:$D$101, C99) &gt; 0, 1, 0)</f>
        <v>0</v>
      </c>
    </row>
    <row r="100" spans="1:6" x14ac:dyDescent="0.25">
      <c r="A100" t="s">
        <v>65</v>
      </c>
      <c r="B100" t="s">
        <v>184</v>
      </c>
      <c r="C100" t="s">
        <v>11</v>
      </c>
      <c r="D100" t="s">
        <v>261</v>
      </c>
      <c r="E100">
        <f>IF(COUNTIF(OFICIAL!$C$98:$D$101, C100) &gt; 0, 1, 0)</f>
        <v>0</v>
      </c>
    </row>
    <row r="101" spans="1:6" x14ac:dyDescent="0.25">
      <c r="A101" t="s">
        <v>65</v>
      </c>
      <c r="B101" t="s">
        <v>122</v>
      </c>
      <c r="C101" t="s">
        <v>48</v>
      </c>
      <c r="D101" t="s">
        <v>230</v>
      </c>
      <c r="E101">
        <f>IF(COUNTIF(OFICIAL!$C$98:$D$101, C101) &gt; 0, 1, 0)</f>
        <v>0</v>
      </c>
    </row>
    <row r="102" spans="1:6" x14ac:dyDescent="0.25">
      <c r="A102" t="s">
        <v>65</v>
      </c>
      <c r="B102" t="s">
        <v>124</v>
      </c>
      <c r="C102" t="s">
        <v>53</v>
      </c>
      <c r="D102" t="s">
        <v>231</v>
      </c>
      <c r="E102">
        <f>IF(COUNTIF(OFICIAL!$C$98:$D$101, C102) &gt; 0, 1, 0)</f>
        <v>0</v>
      </c>
    </row>
    <row r="103" spans="1:6" x14ac:dyDescent="0.25">
      <c r="A103" t="s">
        <v>65</v>
      </c>
      <c r="B103" t="s">
        <v>126</v>
      </c>
      <c r="C103" t="s">
        <v>43</v>
      </c>
      <c r="D103" t="s">
        <v>232</v>
      </c>
      <c r="E103">
        <f>IF(COUNTIF(OFICIAL!$C$102:$D$103, C103) &gt; 0, 8, 0)</f>
        <v>0</v>
      </c>
    </row>
    <row r="104" spans="1:6" x14ac:dyDescent="0.25">
      <c r="A104" t="s">
        <v>65</v>
      </c>
      <c r="B104" t="s">
        <v>128</v>
      </c>
      <c r="C104" t="s">
        <v>16</v>
      </c>
      <c r="D104" t="s">
        <v>233</v>
      </c>
      <c r="E104">
        <f>IF(COUNTIF(OFICIAL!$C$102:$D$103, C104) &gt; 0, 8, 0)</f>
        <v>0</v>
      </c>
    </row>
    <row r="105" spans="1:6" x14ac:dyDescent="0.25">
      <c r="A105" t="s">
        <v>65</v>
      </c>
      <c r="B105" t="s">
        <v>130</v>
      </c>
      <c r="C105" t="s">
        <v>33</v>
      </c>
      <c r="D105" t="s">
        <v>234</v>
      </c>
      <c r="E105">
        <f>IF(COUNTIF(OFICIAL!$C$102:$D$103, C105) &gt; 0, 8, 0)</f>
        <v>0</v>
      </c>
    </row>
    <row r="106" spans="1:6" x14ac:dyDescent="0.25">
      <c r="A106" t="s">
        <v>65</v>
      </c>
      <c r="B106" t="s">
        <v>132</v>
      </c>
      <c r="C106" t="s">
        <v>48</v>
      </c>
      <c r="D106" t="s">
        <v>235</v>
      </c>
      <c r="E106">
        <f>IF(COUNTIF(OFICIAL!$C$102:$D$103, C106) &gt; 0, 8, 0)</f>
        <v>0</v>
      </c>
    </row>
    <row r="107" spans="1:6" x14ac:dyDescent="0.25">
      <c r="A107" t="s">
        <v>65</v>
      </c>
      <c r="B107" t="s">
        <v>134</v>
      </c>
      <c r="C107" t="s">
        <v>16</v>
      </c>
      <c r="D107" t="s">
        <v>236</v>
      </c>
      <c r="E107">
        <v>0</v>
      </c>
      <c r="F107" t="s">
        <v>887</v>
      </c>
    </row>
    <row r="108" spans="1:6" x14ac:dyDescent="0.25">
      <c r="A108" t="s">
        <v>65</v>
      </c>
      <c r="B108" t="s">
        <v>136</v>
      </c>
      <c r="C108" t="s">
        <v>48</v>
      </c>
      <c r="D108" t="s">
        <v>237</v>
      </c>
      <c r="E108">
        <v>0</v>
      </c>
      <c r="F108" t="s">
        <v>887</v>
      </c>
    </row>
    <row r="109" spans="1:6" x14ac:dyDescent="0.25">
      <c r="A109" t="s">
        <v>65</v>
      </c>
      <c r="B109" t="s">
        <v>138</v>
      </c>
      <c r="C109" t="s">
        <v>43</v>
      </c>
      <c r="D109" t="s">
        <v>238</v>
      </c>
      <c r="E109">
        <f>IF(COUNTIF(OFICIAL!$C$105:$D$105, C109) &gt; 0, 10, 0)</f>
        <v>0</v>
      </c>
    </row>
    <row r="110" spans="1:6" x14ac:dyDescent="0.25">
      <c r="A110" t="s">
        <v>65</v>
      </c>
      <c r="B110" t="s">
        <v>140</v>
      </c>
      <c r="C110" t="s">
        <v>33</v>
      </c>
      <c r="D110" t="s">
        <v>239</v>
      </c>
      <c r="E110">
        <f>IF(COUNTIF(OFICIAL!$C$105:$D$105, C110) &gt; 0, 10, 0)</f>
        <v>0</v>
      </c>
    </row>
    <row r="111" spans="1:6" x14ac:dyDescent="0.25">
      <c r="A111" t="s">
        <v>65</v>
      </c>
      <c r="B111" t="s">
        <v>186</v>
      </c>
      <c r="C111" t="s">
        <v>33</v>
      </c>
      <c r="D111" t="s">
        <v>262</v>
      </c>
      <c r="E111">
        <f>IF(C111=OFICIAL!K5, 20, 0)</f>
        <v>0</v>
      </c>
    </row>
    <row r="112" spans="1:6" x14ac:dyDescent="0.25">
      <c r="A112" t="s">
        <v>65</v>
      </c>
      <c r="B112" t="s">
        <v>188</v>
      </c>
      <c r="C112" t="s">
        <v>43</v>
      </c>
      <c r="D112" t="s">
        <v>263</v>
      </c>
      <c r="E112">
        <v>0</v>
      </c>
      <c r="F112" t="s">
        <v>887</v>
      </c>
    </row>
    <row r="113" spans="1:6" x14ac:dyDescent="0.25">
      <c r="A113" t="s">
        <v>65</v>
      </c>
      <c r="B113" t="s">
        <v>190</v>
      </c>
      <c r="C113" t="s">
        <v>48</v>
      </c>
      <c r="D113" t="s">
        <v>264</v>
      </c>
      <c r="E113">
        <f>IF(C113=OFICIAL!M5, 12, 0)</f>
        <v>0</v>
      </c>
    </row>
    <row r="114" spans="1:6" x14ac:dyDescent="0.25">
      <c r="A114" t="s">
        <v>65</v>
      </c>
      <c r="B114" t="s">
        <v>192</v>
      </c>
      <c r="C114" t="s">
        <v>16</v>
      </c>
      <c r="D114" t="s">
        <v>265</v>
      </c>
      <c r="E114">
        <v>0</v>
      </c>
      <c r="F114" t="s">
        <v>887</v>
      </c>
    </row>
    <row r="116" spans="1:6" ht="18" customHeight="1" thickBot="1" x14ac:dyDescent="0.3">
      <c r="A116" s="2" t="s">
        <v>540</v>
      </c>
      <c r="B116" s="3"/>
      <c r="C116" s="3"/>
      <c r="D116" s="3"/>
      <c r="E116" s="3"/>
      <c r="F116" s="3"/>
    </row>
    <row r="117" spans="1:6" ht="15.75" thickBot="1" x14ac:dyDescent="0.3">
      <c r="A117" t="s">
        <v>67</v>
      </c>
      <c r="B117" t="s">
        <v>142</v>
      </c>
      <c r="C117" t="s">
        <v>23</v>
      </c>
      <c r="D117" t="s">
        <v>276</v>
      </c>
      <c r="E117">
        <f>IF(COUNTIF(OFICIAL!$C$90:$D$97, C117) &gt; 0, 1, 0)</f>
        <v>0</v>
      </c>
      <c r="F117" s="7">
        <f>SUM(E117:E152)</f>
        <v>0</v>
      </c>
    </row>
    <row r="118" spans="1:6" x14ac:dyDescent="0.25">
      <c r="A118" t="s">
        <v>67</v>
      </c>
      <c r="B118" t="s">
        <v>144</v>
      </c>
      <c r="C118" t="s">
        <v>43</v>
      </c>
      <c r="D118" t="s">
        <v>277</v>
      </c>
      <c r="E118">
        <f>IF(COUNTIF(OFICIAL!$C$90:$D$97, C118) &gt; 0, 1, 0)</f>
        <v>0</v>
      </c>
    </row>
    <row r="119" spans="1:6" x14ac:dyDescent="0.25">
      <c r="A119" t="s">
        <v>67</v>
      </c>
      <c r="B119" t="s">
        <v>146</v>
      </c>
      <c r="C119" t="s">
        <v>5</v>
      </c>
      <c r="D119" t="s">
        <v>278</v>
      </c>
      <c r="E119">
        <f>IF(COUNTIF(OFICIAL!$C$90:$D$97, C119) &gt; 0, 1, 0)</f>
        <v>0</v>
      </c>
    </row>
    <row r="120" spans="1:6" x14ac:dyDescent="0.25">
      <c r="A120" t="s">
        <v>67</v>
      </c>
      <c r="B120" t="s">
        <v>148</v>
      </c>
      <c r="C120" t="s">
        <v>27</v>
      </c>
      <c r="D120" t="s">
        <v>279</v>
      </c>
      <c r="E120">
        <f>IF(COUNTIF(OFICIAL!$C$90:$D$97, C120) &gt; 0, 1, 0)</f>
        <v>0</v>
      </c>
    </row>
    <row r="121" spans="1:6" x14ac:dyDescent="0.25">
      <c r="A121" t="s">
        <v>67</v>
      </c>
      <c r="B121" t="s">
        <v>150</v>
      </c>
      <c r="C121" t="s">
        <v>16</v>
      </c>
      <c r="D121" t="s">
        <v>280</v>
      </c>
      <c r="E121">
        <f>IF(COUNTIF(OFICIAL!$C$90:$D$97, C121) &gt; 0, 1, 0)</f>
        <v>0</v>
      </c>
    </row>
    <row r="122" spans="1:6" x14ac:dyDescent="0.25">
      <c r="A122" t="s">
        <v>67</v>
      </c>
      <c r="B122" t="s">
        <v>152</v>
      </c>
      <c r="C122" t="s">
        <v>46</v>
      </c>
      <c r="D122" t="s">
        <v>281</v>
      </c>
      <c r="E122">
        <f>IF(COUNTIF(OFICIAL!$C$90:$D$97, C122) &gt; 0, 1, 0)</f>
        <v>0</v>
      </c>
    </row>
    <row r="123" spans="1:6" x14ac:dyDescent="0.25">
      <c r="A123" t="s">
        <v>67</v>
      </c>
      <c r="B123" t="s">
        <v>154</v>
      </c>
      <c r="C123" t="s">
        <v>3</v>
      </c>
      <c r="D123" t="s">
        <v>282</v>
      </c>
      <c r="E123">
        <f>IF(COUNTIF(OFICIAL!$C$90:$D$97, C123) &gt; 0, 1, 0)</f>
        <v>0</v>
      </c>
    </row>
    <row r="124" spans="1:6" x14ac:dyDescent="0.25">
      <c r="A124" t="s">
        <v>67</v>
      </c>
      <c r="B124" t="s">
        <v>156</v>
      </c>
      <c r="C124" t="s">
        <v>56</v>
      </c>
      <c r="D124" t="s">
        <v>283</v>
      </c>
      <c r="E124">
        <f>IF(COUNTIF(OFICIAL!$C$90:$D$97, C124) &gt; 0, 1, 0)</f>
        <v>0</v>
      </c>
    </row>
    <row r="125" spans="1:6" x14ac:dyDescent="0.25">
      <c r="A125" t="s">
        <v>67</v>
      </c>
      <c r="B125" t="s">
        <v>158</v>
      </c>
      <c r="C125" t="s">
        <v>61</v>
      </c>
      <c r="D125" t="s">
        <v>284</v>
      </c>
      <c r="E125">
        <f>IF(COUNTIF(OFICIAL!$C$90:$D$97, C125) &gt; 0, 1, 0)</f>
        <v>0</v>
      </c>
    </row>
    <row r="126" spans="1:6" x14ac:dyDescent="0.25">
      <c r="A126" t="s">
        <v>67</v>
      </c>
      <c r="B126" t="s">
        <v>160</v>
      </c>
      <c r="C126" t="s">
        <v>33</v>
      </c>
      <c r="D126" t="s">
        <v>285</v>
      </c>
      <c r="E126">
        <f>IF(COUNTIF(OFICIAL!$C$90:$D$97, C126) &gt; 0, 1, 0)</f>
        <v>0</v>
      </c>
    </row>
    <row r="127" spans="1:6" x14ac:dyDescent="0.25">
      <c r="A127" t="s">
        <v>67</v>
      </c>
      <c r="B127" t="s">
        <v>162</v>
      </c>
      <c r="C127" t="s">
        <v>11</v>
      </c>
      <c r="D127" t="s">
        <v>286</v>
      </c>
      <c r="E127">
        <f>IF(COUNTIF(OFICIAL!$C$90:$D$97, C127) &gt; 0, 1, 0)</f>
        <v>0</v>
      </c>
    </row>
    <row r="128" spans="1:6" x14ac:dyDescent="0.25">
      <c r="A128" t="s">
        <v>67</v>
      </c>
      <c r="B128" t="s">
        <v>164</v>
      </c>
      <c r="C128" t="s">
        <v>36</v>
      </c>
      <c r="D128" t="s">
        <v>287</v>
      </c>
      <c r="E128">
        <f>IF(COUNTIF(OFICIAL!$C$90:$D$97, C128) &gt; 0, 1, 0)</f>
        <v>0</v>
      </c>
    </row>
    <row r="129" spans="1:5" x14ac:dyDescent="0.25">
      <c r="A129" t="s">
        <v>67</v>
      </c>
      <c r="B129" t="s">
        <v>166</v>
      </c>
      <c r="C129" t="s">
        <v>8</v>
      </c>
      <c r="D129" t="s">
        <v>288</v>
      </c>
      <c r="E129">
        <f>IF(COUNTIF(OFICIAL!$C$90:$D$97, C129) &gt; 0, 1, 0)</f>
        <v>0</v>
      </c>
    </row>
    <row r="130" spans="1:5" x14ac:dyDescent="0.25">
      <c r="A130" t="s">
        <v>67</v>
      </c>
      <c r="B130" t="s">
        <v>168</v>
      </c>
      <c r="C130" t="s">
        <v>48</v>
      </c>
      <c r="D130" t="s">
        <v>289</v>
      </c>
      <c r="E130">
        <f>IF(COUNTIF(OFICIAL!$C$90:$D$97, C130) &gt; 0, 1, 0)</f>
        <v>0</v>
      </c>
    </row>
    <row r="131" spans="1:5" x14ac:dyDescent="0.25">
      <c r="A131" t="s">
        <v>67</v>
      </c>
      <c r="B131" t="s">
        <v>170</v>
      </c>
      <c r="C131" t="s">
        <v>53</v>
      </c>
      <c r="D131" t="s">
        <v>290</v>
      </c>
      <c r="E131">
        <f>IF(COUNTIF(OFICIAL!$C$90:$D$97, C131) &gt; 0, 1, 0)</f>
        <v>0</v>
      </c>
    </row>
    <row r="132" spans="1:5" x14ac:dyDescent="0.25">
      <c r="A132" t="s">
        <v>67</v>
      </c>
      <c r="B132" t="s">
        <v>172</v>
      </c>
      <c r="C132" t="s">
        <v>21</v>
      </c>
      <c r="D132" t="s">
        <v>291</v>
      </c>
      <c r="E132">
        <f>IF(COUNTIF(OFICIAL!$C$90:$D$97, C132) &gt; 0, 1, 0)</f>
        <v>0</v>
      </c>
    </row>
    <row r="133" spans="1:5" x14ac:dyDescent="0.25">
      <c r="A133" t="s">
        <v>67</v>
      </c>
      <c r="B133" t="s">
        <v>174</v>
      </c>
      <c r="C133" t="s">
        <v>43</v>
      </c>
      <c r="D133" t="s">
        <v>292</v>
      </c>
      <c r="E133">
        <f>IF(COUNTIF(OFICIAL!$C$98:$D$101, C133) &gt; 0, 1, 0)</f>
        <v>0</v>
      </c>
    </row>
    <row r="134" spans="1:5" x14ac:dyDescent="0.25">
      <c r="A134" t="s">
        <v>67</v>
      </c>
      <c r="B134" t="s">
        <v>176</v>
      </c>
      <c r="C134" t="s">
        <v>27</v>
      </c>
      <c r="D134" t="s">
        <v>293</v>
      </c>
      <c r="E134">
        <f>IF(COUNTIF(OFICIAL!$C$98:$D$101, C134) &gt; 0, 1, 0)</f>
        <v>0</v>
      </c>
    </row>
    <row r="135" spans="1:5" x14ac:dyDescent="0.25">
      <c r="A135" t="s">
        <v>67</v>
      </c>
      <c r="B135" t="s">
        <v>178</v>
      </c>
      <c r="C135" t="s">
        <v>16</v>
      </c>
      <c r="D135" t="s">
        <v>294</v>
      </c>
      <c r="E135">
        <f>IF(COUNTIF(OFICIAL!$C$98:$D$101, C135) &gt; 0, 1, 0)</f>
        <v>0</v>
      </c>
    </row>
    <row r="136" spans="1:5" x14ac:dyDescent="0.25">
      <c r="A136" t="s">
        <v>67</v>
      </c>
      <c r="B136" t="s">
        <v>180</v>
      </c>
      <c r="C136" t="s">
        <v>56</v>
      </c>
      <c r="D136" t="s">
        <v>295</v>
      </c>
      <c r="E136">
        <f>IF(COUNTIF(OFICIAL!$C$98:$D$101, C136) &gt; 0, 1, 0)</f>
        <v>0</v>
      </c>
    </row>
    <row r="137" spans="1:5" x14ac:dyDescent="0.25">
      <c r="A137" t="s">
        <v>67</v>
      </c>
      <c r="B137" t="s">
        <v>182</v>
      </c>
      <c r="C137" t="s">
        <v>33</v>
      </c>
      <c r="D137" t="s">
        <v>296</v>
      </c>
      <c r="E137">
        <f>IF(COUNTIF(OFICIAL!$C$98:$D$101, C137) &gt; 0, 1, 0)</f>
        <v>0</v>
      </c>
    </row>
    <row r="138" spans="1:5" x14ac:dyDescent="0.25">
      <c r="A138" t="s">
        <v>67</v>
      </c>
      <c r="B138" t="s">
        <v>184</v>
      </c>
      <c r="C138" t="s">
        <v>36</v>
      </c>
      <c r="D138" t="s">
        <v>297</v>
      </c>
      <c r="E138">
        <f>IF(COUNTIF(OFICIAL!$C$98:$D$101, C138) &gt; 0, 1, 0)</f>
        <v>0</v>
      </c>
    </row>
    <row r="139" spans="1:5" x14ac:dyDescent="0.25">
      <c r="A139" t="s">
        <v>67</v>
      </c>
      <c r="B139" t="s">
        <v>122</v>
      </c>
      <c r="C139" t="s">
        <v>48</v>
      </c>
      <c r="D139" t="s">
        <v>266</v>
      </c>
      <c r="E139">
        <f>IF(COUNTIF(OFICIAL!$C$98:$D$101, C139) &gt; 0, 1, 0)</f>
        <v>0</v>
      </c>
    </row>
    <row r="140" spans="1:5" x14ac:dyDescent="0.25">
      <c r="A140" t="s">
        <v>67</v>
      </c>
      <c r="B140" t="s">
        <v>124</v>
      </c>
      <c r="C140" t="s">
        <v>53</v>
      </c>
      <c r="D140" t="s">
        <v>267</v>
      </c>
      <c r="E140">
        <f>IF(COUNTIF(OFICIAL!$C$98:$D$101, C140) &gt; 0, 1, 0)</f>
        <v>0</v>
      </c>
    </row>
    <row r="141" spans="1:5" x14ac:dyDescent="0.25">
      <c r="A141" t="s">
        <v>67</v>
      </c>
      <c r="B141" t="s">
        <v>126</v>
      </c>
      <c r="C141" t="s">
        <v>43</v>
      </c>
      <c r="D141" t="s">
        <v>268</v>
      </c>
      <c r="E141">
        <f>IF(COUNTIF(OFICIAL!$C$102:$D$103, C141) &gt; 0, 8, 0)</f>
        <v>0</v>
      </c>
    </row>
    <row r="142" spans="1:5" x14ac:dyDescent="0.25">
      <c r="A142" t="s">
        <v>67</v>
      </c>
      <c r="B142" t="s">
        <v>128</v>
      </c>
      <c r="C142" t="s">
        <v>16</v>
      </c>
      <c r="D142" t="s">
        <v>269</v>
      </c>
      <c r="E142">
        <f>IF(COUNTIF(OFICIAL!$C$102:$D$103, C142) &gt; 0, 8, 0)</f>
        <v>0</v>
      </c>
    </row>
    <row r="143" spans="1:5" x14ac:dyDescent="0.25">
      <c r="A143" t="s">
        <v>67</v>
      </c>
      <c r="B143" t="s">
        <v>130</v>
      </c>
      <c r="C143" t="s">
        <v>33</v>
      </c>
      <c r="D143" t="s">
        <v>270</v>
      </c>
      <c r="E143">
        <f>IF(COUNTIF(OFICIAL!$C$102:$D$103, C143) &gt; 0, 8, 0)</f>
        <v>0</v>
      </c>
    </row>
    <row r="144" spans="1:5" x14ac:dyDescent="0.25">
      <c r="A144" t="s">
        <v>67</v>
      </c>
      <c r="B144" t="s">
        <v>132</v>
      </c>
      <c r="C144" t="s">
        <v>48</v>
      </c>
      <c r="D144" t="s">
        <v>271</v>
      </c>
      <c r="E144">
        <f>IF(COUNTIF(OFICIAL!$C$102:$D$103, C144) &gt; 0, 8, 0)</f>
        <v>0</v>
      </c>
    </row>
    <row r="145" spans="1:6" x14ac:dyDescent="0.25">
      <c r="A145" t="s">
        <v>67</v>
      </c>
      <c r="B145" t="s">
        <v>134</v>
      </c>
      <c r="C145" t="s">
        <v>43</v>
      </c>
      <c r="D145" t="s">
        <v>272</v>
      </c>
      <c r="E145">
        <v>0</v>
      </c>
      <c r="F145" t="s">
        <v>887</v>
      </c>
    </row>
    <row r="146" spans="1:6" x14ac:dyDescent="0.25">
      <c r="A146" t="s">
        <v>67</v>
      </c>
      <c r="B146" t="s">
        <v>136</v>
      </c>
      <c r="C146" t="s">
        <v>48</v>
      </c>
      <c r="D146" t="s">
        <v>273</v>
      </c>
      <c r="E146">
        <v>0</v>
      </c>
      <c r="F146" t="s">
        <v>887</v>
      </c>
    </row>
    <row r="147" spans="1:6" x14ac:dyDescent="0.25">
      <c r="A147" t="s">
        <v>67</v>
      </c>
      <c r="B147" t="s">
        <v>138</v>
      </c>
      <c r="C147" t="s">
        <v>16</v>
      </c>
      <c r="D147" t="s">
        <v>274</v>
      </c>
      <c r="E147">
        <f>IF(COUNTIF(OFICIAL!$C$105:$D$105, C147) &gt; 0, 10, 0)</f>
        <v>0</v>
      </c>
    </row>
    <row r="148" spans="1:6" x14ac:dyDescent="0.25">
      <c r="A148" t="s">
        <v>67</v>
      </c>
      <c r="B148" t="s">
        <v>140</v>
      </c>
      <c r="C148" t="s">
        <v>33</v>
      </c>
      <c r="D148" t="s">
        <v>275</v>
      </c>
      <c r="E148">
        <f>IF(COUNTIF(OFICIAL!$C$105:$D$105, C148) &gt; 0, 10, 0)</f>
        <v>0</v>
      </c>
    </row>
    <row r="149" spans="1:6" x14ac:dyDescent="0.25">
      <c r="A149" t="s">
        <v>67</v>
      </c>
      <c r="B149" t="s">
        <v>186</v>
      </c>
      <c r="C149" t="s">
        <v>33</v>
      </c>
      <c r="D149" t="s">
        <v>298</v>
      </c>
      <c r="E149">
        <f>IF(C149=OFICIAL!K5, 20, 0)</f>
        <v>0</v>
      </c>
    </row>
    <row r="150" spans="1:6" x14ac:dyDescent="0.25">
      <c r="A150" t="s">
        <v>67</v>
      </c>
      <c r="B150" t="s">
        <v>188</v>
      </c>
      <c r="C150" t="s">
        <v>16</v>
      </c>
      <c r="D150" t="s">
        <v>299</v>
      </c>
      <c r="E150">
        <v>0</v>
      </c>
      <c r="F150" t="s">
        <v>887</v>
      </c>
    </row>
    <row r="151" spans="1:6" x14ac:dyDescent="0.25">
      <c r="A151" t="s">
        <v>67</v>
      </c>
      <c r="B151" t="s">
        <v>190</v>
      </c>
      <c r="C151" t="s">
        <v>48</v>
      </c>
      <c r="D151" t="s">
        <v>300</v>
      </c>
      <c r="E151">
        <f>IF(C151=OFICIAL!M5, 12, 0)</f>
        <v>0</v>
      </c>
    </row>
    <row r="152" spans="1:6" x14ac:dyDescent="0.25">
      <c r="A152" t="s">
        <v>67</v>
      </c>
      <c r="B152" t="s">
        <v>192</v>
      </c>
      <c r="C152" t="s">
        <v>43</v>
      </c>
      <c r="D152" t="s">
        <v>301</v>
      </c>
      <c r="E152">
        <v>0</v>
      </c>
      <c r="F152" t="s">
        <v>887</v>
      </c>
    </row>
    <row r="154" spans="1:6" ht="18" customHeight="1" thickBot="1" x14ac:dyDescent="0.3">
      <c r="A154" s="2" t="s">
        <v>541</v>
      </c>
      <c r="B154" s="3"/>
      <c r="C154" s="3"/>
      <c r="D154" s="3"/>
      <c r="E154" s="3"/>
      <c r="F154" s="3"/>
    </row>
    <row r="155" spans="1:6" ht="15.75" thickBot="1" x14ac:dyDescent="0.3">
      <c r="A155" t="s">
        <v>69</v>
      </c>
      <c r="B155" t="s">
        <v>142</v>
      </c>
      <c r="C155" t="s">
        <v>23</v>
      </c>
      <c r="D155" t="s">
        <v>312</v>
      </c>
      <c r="E155">
        <f>IF(COUNTIF(OFICIAL!$C$90:$D$97, C155) &gt; 0, 1, 0)</f>
        <v>0</v>
      </c>
      <c r="F155" s="7">
        <f>SUM(E155:E190)</f>
        <v>0</v>
      </c>
    </row>
    <row r="156" spans="1:6" x14ac:dyDescent="0.25">
      <c r="A156" t="s">
        <v>69</v>
      </c>
      <c r="B156" t="s">
        <v>144</v>
      </c>
      <c r="C156" t="s">
        <v>43</v>
      </c>
      <c r="D156" t="s">
        <v>313</v>
      </c>
      <c r="E156">
        <f>IF(COUNTIF(OFICIAL!$C$90:$D$97, C156) &gt; 0, 1, 0)</f>
        <v>0</v>
      </c>
    </row>
    <row r="157" spans="1:6" x14ac:dyDescent="0.25">
      <c r="A157" t="s">
        <v>69</v>
      </c>
      <c r="B157" t="s">
        <v>146</v>
      </c>
      <c r="C157" t="s">
        <v>14</v>
      </c>
      <c r="D157" t="s">
        <v>314</v>
      </c>
      <c r="E157">
        <f>IF(COUNTIF(OFICIAL!$C$90:$D$97, C157) &gt; 0, 1, 0)</f>
        <v>0</v>
      </c>
    </row>
    <row r="158" spans="1:6" x14ac:dyDescent="0.25">
      <c r="A158" t="s">
        <v>69</v>
      </c>
      <c r="B158" t="s">
        <v>148</v>
      </c>
      <c r="C158" t="s">
        <v>17</v>
      </c>
      <c r="D158" t="s">
        <v>315</v>
      </c>
      <c r="E158">
        <f>IF(COUNTIF(OFICIAL!$C$90:$D$97, C158) &gt; 0, 1, 0)</f>
        <v>0</v>
      </c>
    </row>
    <row r="159" spans="1:6" x14ac:dyDescent="0.25">
      <c r="A159" t="s">
        <v>69</v>
      </c>
      <c r="B159" t="s">
        <v>150</v>
      </c>
      <c r="C159" t="s">
        <v>16</v>
      </c>
      <c r="D159" t="s">
        <v>316</v>
      </c>
      <c r="E159">
        <f>IF(COUNTIF(OFICIAL!$C$90:$D$97, C159) &gt; 0, 1, 0)</f>
        <v>0</v>
      </c>
    </row>
    <row r="160" spans="1:6" x14ac:dyDescent="0.25">
      <c r="A160" t="s">
        <v>69</v>
      </c>
      <c r="B160" t="s">
        <v>152</v>
      </c>
      <c r="C160" t="s">
        <v>29</v>
      </c>
      <c r="D160" t="s">
        <v>317</v>
      </c>
      <c r="E160">
        <f>IF(COUNTIF(OFICIAL!$C$90:$D$97, C160) &gt; 0, 1, 0)</f>
        <v>0</v>
      </c>
    </row>
    <row r="161" spans="1:5" x14ac:dyDescent="0.25">
      <c r="A161" t="s">
        <v>69</v>
      </c>
      <c r="B161" t="s">
        <v>154</v>
      </c>
      <c r="C161" t="s">
        <v>3</v>
      </c>
      <c r="D161" t="s">
        <v>318</v>
      </c>
      <c r="E161">
        <f>IF(COUNTIF(OFICIAL!$C$90:$D$97, C161) &gt; 0, 1, 0)</f>
        <v>0</v>
      </c>
    </row>
    <row r="162" spans="1:5" x14ac:dyDescent="0.25">
      <c r="A162" t="s">
        <v>69</v>
      </c>
      <c r="B162" t="s">
        <v>156</v>
      </c>
      <c r="C162" t="s">
        <v>56</v>
      </c>
      <c r="D162" t="s">
        <v>319</v>
      </c>
      <c r="E162">
        <f>IF(COUNTIF(OFICIAL!$C$90:$D$97, C162) &gt; 0, 1, 0)</f>
        <v>0</v>
      </c>
    </row>
    <row r="163" spans="1:5" x14ac:dyDescent="0.25">
      <c r="A163" t="s">
        <v>69</v>
      </c>
      <c r="B163" t="s">
        <v>158</v>
      </c>
      <c r="C163" t="s">
        <v>61</v>
      </c>
      <c r="D163" t="s">
        <v>320</v>
      </c>
      <c r="E163">
        <f>IF(COUNTIF(OFICIAL!$C$90:$D$97, C163) &gt; 0, 1, 0)</f>
        <v>0</v>
      </c>
    </row>
    <row r="164" spans="1:5" x14ac:dyDescent="0.25">
      <c r="A164" t="s">
        <v>69</v>
      </c>
      <c r="B164" t="s">
        <v>160</v>
      </c>
      <c r="C164" t="s">
        <v>33</v>
      </c>
      <c r="D164" t="s">
        <v>321</v>
      </c>
      <c r="E164">
        <f>IF(COUNTIF(OFICIAL!$C$90:$D$97, C164) &gt; 0, 1, 0)</f>
        <v>0</v>
      </c>
    </row>
    <row r="165" spans="1:5" x14ac:dyDescent="0.25">
      <c r="A165" t="s">
        <v>69</v>
      </c>
      <c r="B165" t="s">
        <v>162</v>
      </c>
      <c r="C165" t="s">
        <v>21</v>
      </c>
      <c r="D165" t="s">
        <v>322</v>
      </c>
      <c r="E165">
        <f>IF(COUNTIF(OFICIAL!$C$90:$D$97, C165) &gt; 0, 1, 0)</f>
        <v>0</v>
      </c>
    </row>
    <row r="166" spans="1:5" x14ac:dyDescent="0.25">
      <c r="A166" t="s">
        <v>69</v>
      </c>
      <c r="B166" t="s">
        <v>164</v>
      </c>
      <c r="C166" t="s">
        <v>36</v>
      </c>
      <c r="D166" t="s">
        <v>323</v>
      </c>
      <c r="E166">
        <f>IF(COUNTIF(OFICIAL!$C$90:$D$97, C166) &gt; 0, 1, 0)</f>
        <v>0</v>
      </c>
    </row>
    <row r="167" spans="1:5" x14ac:dyDescent="0.25">
      <c r="A167" t="s">
        <v>69</v>
      </c>
      <c r="B167" t="s">
        <v>166</v>
      </c>
      <c r="C167" t="s">
        <v>13</v>
      </c>
      <c r="D167" t="s">
        <v>324</v>
      </c>
      <c r="E167">
        <f>IF(COUNTIF(OFICIAL!$C$90:$D$97, C167) &gt; 0, 1, 0)</f>
        <v>0</v>
      </c>
    </row>
    <row r="168" spans="1:5" x14ac:dyDescent="0.25">
      <c r="A168" t="s">
        <v>69</v>
      </c>
      <c r="B168" t="s">
        <v>168</v>
      </c>
      <c r="C168" t="s">
        <v>48</v>
      </c>
      <c r="D168" t="s">
        <v>325</v>
      </c>
      <c r="E168">
        <f>IF(COUNTIF(OFICIAL!$C$90:$D$97, C168) &gt; 0, 1, 0)</f>
        <v>0</v>
      </c>
    </row>
    <row r="169" spans="1:5" x14ac:dyDescent="0.25">
      <c r="A169" t="s">
        <v>69</v>
      </c>
      <c r="B169" t="s">
        <v>170</v>
      </c>
      <c r="C169" t="s">
        <v>53</v>
      </c>
      <c r="D169" t="s">
        <v>326</v>
      </c>
      <c r="E169">
        <f>IF(COUNTIF(OFICIAL!$C$90:$D$97, C169) &gt; 0, 1, 0)</f>
        <v>0</v>
      </c>
    </row>
    <row r="170" spans="1:5" x14ac:dyDescent="0.25">
      <c r="A170" t="s">
        <v>69</v>
      </c>
      <c r="B170" t="s">
        <v>172</v>
      </c>
      <c r="C170" t="s">
        <v>12</v>
      </c>
      <c r="D170" t="s">
        <v>327</v>
      </c>
      <c r="E170">
        <f>IF(COUNTIF(OFICIAL!$C$90:$D$97, C170) &gt; 0, 1, 0)</f>
        <v>0</v>
      </c>
    </row>
    <row r="171" spans="1:5" x14ac:dyDescent="0.25">
      <c r="A171" t="s">
        <v>69</v>
      </c>
      <c r="B171" t="s">
        <v>174</v>
      </c>
      <c r="C171" t="s">
        <v>43</v>
      </c>
      <c r="D171" t="s">
        <v>328</v>
      </c>
      <c r="E171">
        <f>IF(COUNTIF(OFICIAL!$C$98:$D$101, C171) &gt; 0, 1, 0)</f>
        <v>0</v>
      </c>
    </row>
    <row r="172" spans="1:5" x14ac:dyDescent="0.25">
      <c r="A172" t="s">
        <v>69</v>
      </c>
      <c r="B172" t="s">
        <v>176</v>
      </c>
      <c r="C172" t="s">
        <v>17</v>
      </c>
      <c r="D172" t="s">
        <v>329</v>
      </c>
      <c r="E172">
        <f>IF(COUNTIF(OFICIAL!$C$98:$D$101, C172) &gt; 0, 1, 0)</f>
        <v>0</v>
      </c>
    </row>
    <row r="173" spans="1:5" x14ac:dyDescent="0.25">
      <c r="A173" t="s">
        <v>69</v>
      </c>
      <c r="B173" t="s">
        <v>178</v>
      </c>
      <c r="C173" t="s">
        <v>16</v>
      </c>
      <c r="D173" t="s">
        <v>330</v>
      </c>
      <c r="E173">
        <f>IF(COUNTIF(OFICIAL!$C$98:$D$101, C173) &gt; 0, 1, 0)</f>
        <v>0</v>
      </c>
    </row>
    <row r="174" spans="1:5" x14ac:dyDescent="0.25">
      <c r="A174" t="s">
        <v>69</v>
      </c>
      <c r="B174" t="s">
        <v>180</v>
      </c>
      <c r="C174" t="s">
        <v>56</v>
      </c>
      <c r="D174" t="s">
        <v>331</v>
      </c>
      <c r="E174">
        <f>IF(COUNTIF(OFICIAL!$C$98:$D$101, C174) &gt; 0, 1, 0)</f>
        <v>0</v>
      </c>
    </row>
    <row r="175" spans="1:5" x14ac:dyDescent="0.25">
      <c r="A175" t="s">
        <v>69</v>
      </c>
      <c r="B175" t="s">
        <v>182</v>
      </c>
      <c r="C175" t="s">
        <v>33</v>
      </c>
      <c r="D175" t="s">
        <v>332</v>
      </c>
      <c r="E175">
        <f>IF(COUNTIF(OFICIAL!$C$98:$D$101, C175) &gt; 0, 1, 0)</f>
        <v>0</v>
      </c>
    </row>
    <row r="176" spans="1:5" x14ac:dyDescent="0.25">
      <c r="A176" t="s">
        <v>69</v>
      </c>
      <c r="B176" t="s">
        <v>184</v>
      </c>
      <c r="C176" t="s">
        <v>21</v>
      </c>
      <c r="D176" t="s">
        <v>333</v>
      </c>
      <c r="E176">
        <f>IF(COUNTIF(OFICIAL!$C$98:$D$101, C176) &gt; 0, 1, 0)</f>
        <v>0</v>
      </c>
    </row>
    <row r="177" spans="1:6" x14ac:dyDescent="0.25">
      <c r="A177" t="s">
        <v>69</v>
      </c>
      <c r="B177" t="s">
        <v>122</v>
      </c>
      <c r="C177" t="s">
        <v>48</v>
      </c>
      <c r="D177" t="s">
        <v>302</v>
      </c>
      <c r="E177">
        <f>IF(COUNTIF(OFICIAL!$C$98:$D$101, C177) &gt; 0, 1, 0)</f>
        <v>0</v>
      </c>
    </row>
    <row r="178" spans="1:6" x14ac:dyDescent="0.25">
      <c r="A178" t="s">
        <v>69</v>
      </c>
      <c r="B178" t="s">
        <v>124</v>
      </c>
      <c r="C178" t="s">
        <v>53</v>
      </c>
      <c r="D178" t="s">
        <v>303</v>
      </c>
      <c r="E178">
        <f>IF(COUNTIF(OFICIAL!$C$98:$D$101, C178) &gt; 0, 1, 0)</f>
        <v>0</v>
      </c>
    </row>
    <row r="179" spans="1:6" x14ac:dyDescent="0.25">
      <c r="A179" t="s">
        <v>69</v>
      </c>
      <c r="B179" t="s">
        <v>126</v>
      </c>
      <c r="C179" t="s">
        <v>43</v>
      </c>
      <c r="D179" t="s">
        <v>304</v>
      </c>
      <c r="E179">
        <f>IF(COUNTIF(OFICIAL!$C$102:$D$103, C179) &gt; 0, 8, 0)</f>
        <v>0</v>
      </c>
    </row>
    <row r="180" spans="1:6" x14ac:dyDescent="0.25">
      <c r="A180" t="s">
        <v>69</v>
      </c>
      <c r="B180" t="s">
        <v>128</v>
      </c>
      <c r="C180" t="s">
        <v>56</v>
      </c>
      <c r="D180" t="s">
        <v>305</v>
      </c>
      <c r="E180">
        <f>IF(COUNTIF(OFICIAL!$C$102:$D$103, C180) &gt; 0, 8, 0)</f>
        <v>0</v>
      </c>
    </row>
    <row r="181" spans="1:6" x14ac:dyDescent="0.25">
      <c r="A181" t="s">
        <v>69</v>
      </c>
      <c r="B181" t="s">
        <v>130</v>
      </c>
      <c r="C181" t="s">
        <v>33</v>
      </c>
      <c r="D181" t="s">
        <v>306</v>
      </c>
      <c r="E181">
        <f>IF(COUNTIF(OFICIAL!$C$102:$D$103, C181) &gt; 0, 8, 0)</f>
        <v>0</v>
      </c>
    </row>
    <row r="182" spans="1:6" x14ac:dyDescent="0.25">
      <c r="A182" t="s">
        <v>69</v>
      </c>
      <c r="B182" t="s">
        <v>132</v>
      </c>
      <c r="C182" t="s">
        <v>48</v>
      </c>
      <c r="D182" t="s">
        <v>307</v>
      </c>
      <c r="E182">
        <f>IF(COUNTIF(OFICIAL!$C$102:$D$103, C182) &gt; 0, 8, 0)</f>
        <v>0</v>
      </c>
    </row>
    <row r="183" spans="1:6" x14ac:dyDescent="0.25">
      <c r="A183" t="s">
        <v>69</v>
      </c>
      <c r="B183" t="s">
        <v>134</v>
      </c>
      <c r="C183" t="s">
        <v>56</v>
      </c>
      <c r="D183" t="s">
        <v>308</v>
      </c>
      <c r="E183">
        <v>0</v>
      </c>
      <c r="F183" t="s">
        <v>887</v>
      </c>
    </row>
    <row r="184" spans="1:6" x14ac:dyDescent="0.25">
      <c r="A184" t="s">
        <v>69</v>
      </c>
      <c r="B184" t="s">
        <v>136</v>
      </c>
      <c r="C184" t="s">
        <v>33</v>
      </c>
      <c r="D184" t="s">
        <v>309</v>
      </c>
      <c r="E184">
        <v>0</v>
      </c>
      <c r="F184" t="s">
        <v>887</v>
      </c>
    </row>
    <row r="185" spans="1:6" x14ac:dyDescent="0.25">
      <c r="A185" t="s">
        <v>69</v>
      </c>
      <c r="B185" t="s">
        <v>138</v>
      </c>
      <c r="C185" t="s">
        <v>43</v>
      </c>
      <c r="D185" t="s">
        <v>310</v>
      </c>
      <c r="E185">
        <f>IF(COUNTIF(OFICIAL!$C$105:$D$105, C185) &gt; 0, 10, 0)</f>
        <v>0</v>
      </c>
    </row>
    <row r="186" spans="1:6" x14ac:dyDescent="0.25">
      <c r="A186" t="s">
        <v>69</v>
      </c>
      <c r="B186" t="s">
        <v>140</v>
      </c>
      <c r="C186" t="s">
        <v>48</v>
      </c>
      <c r="D186" t="s">
        <v>311</v>
      </c>
      <c r="E186">
        <f>IF(COUNTIF(OFICIAL!$C$105:$D$105, C186) &gt; 0, 10, 0)</f>
        <v>0</v>
      </c>
    </row>
    <row r="187" spans="1:6" x14ac:dyDescent="0.25">
      <c r="A187" t="s">
        <v>69</v>
      </c>
      <c r="B187" t="s">
        <v>186</v>
      </c>
      <c r="C187" t="s">
        <v>48</v>
      </c>
      <c r="D187" t="s">
        <v>334</v>
      </c>
      <c r="E187">
        <f>IF(C187=OFICIAL!K5, 20, 0)</f>
        <v>0</v>
      </c>
    </row>
    <row r="188" spans="1:6" x14ac:dyDescent="0.25">
      <c r="A188" t="s">
        <v>69</v>
      </c>
      <c r="B188" t="s">
        <v>188</v>
      </c>
      <c r="C188" t="s">
        <v>43</v>
      </c>
      <c r="D188" t="s">
        <v>335</v>
      </c>
      <c r="E188">
        <v>0</v>
      </c>
      <c r="F188" t="s">
        <v>887</v>
      </c>
    </row>
    <row r="189" spans="1:6" x14ac:dyDescent="0.25">
      <c r="A189" t="s">
        <v>69</v>
      </c>
      <c r="B189" t="s">
        <v>190</v>
      </c>
      <c r="C189" t="s">
        <v>33</v>
      </c>
      <c r="D189" t="s">
        <v>336</v>
      </c>
      <c r="E189">
        <f>IF(C189=OFICIAL!M5, 12, 0)</f>
        <v>0</v>
      </c>
    </row>
    <row r="190" spans="1:6" x14ac:dyDescent="0.25">
      <c r="A190" t="s">
        <v>69</v>
      </c>
      <c r="B190" t="s">
        <v>192</v>
      </c>
      <c r="C190" t="s">
        <v>56</v>
      </c>
      <c r="D190" t="s">
        <v>337</v>
      </c>
      <c r="E190">
        <v>0</v>
      </c>
      <c r="F190" t="s">
        <v>887</v>
      </c>
    </row>
    <row r="192" spans="1:6" ht="18" customHeight="1" thickBot="1" x14ac:dyDescent="0.3">
      <c r="A192" s="2" t="s">
        <v>542</v>
      </c>
      <c r="B192" s="3"/>
      <c r="C192" s="3"/>
      <c r="D192" s="3"/>
      <c r="E192" s="3"/>
      <c r="F192" s="3"/>
    </row>
    <row r="193" spans="1:6" ht="15.75" thickBot="1" x14ac:dyDescent="0.3">
      <c r="A193" t="s">
        <v>71</v>
      </c>
      <c r="B193" t="s">
        <v>142</v>
      </c>
      <c r="C193" t="s">
        <v>23</v>
      </c>
      <c r="D193" t="s">
        <v>348</v>
      </c>
      <c r="E193">
        <f>IF(COUNTIF(OFICIAL!$C$90:$D$97, C193) &gt; 0, 1, 0)</f>
        <v>0</v>
      </c>
      <c r="F193" s="7">
        <f>SUM(E193:E228)</f>
        <v>0</v>
      </c>
    </row>
    <row r="194" spans="1:6" x14ac:dyDescent="0.25">
      <c r="A194" t="s">
        <v>71</v>
      </c>
      <c r="B194" t="s">
        <v>144</v>
      </c>
      <c r="C194" t="s">
        <v>43</v>
      </c>
      <c r="D194" t="s">
        <v>349</v>
      </c>
      <c r="E194">
        <f>IF(COUNTIF(OFICIAL!$C$90:$D$97, C194) &gt; 0, 1, 0)</f>
        <v>0</v>
      </c>
    </row>
    <row r="195" spans="1:6" x14ac:dyDescent="0.25">
      <c r="A195" t="s">
        <v>71</v>
      </c>
      <c r="B195" t="s">
        <v>146</v>
      </c>
      <c r="C195" t="s">
        <v>6</v>
      </c>
      <c r="D195" t="s">
        <v>350</v>
      </c>
      <c r="E195">
        <f>IF(COUNTIF(OFICIAL!$C$90:$D$97, C195) &gt; 0, 1, 0)</f>
        <v>0</v>
      </c>
    </row>
    <row r="196" spans="1:6" x14ac:dyDescent="0.25">
      <c r="A196" t="s">
        <v>71</v>
      </c>
      <c r="B196" t="s">
        <v>148</v>
      </c>
      <c r="C196" t="s">
        <v>17</v>
      </c>
      <c r="D196" t="s">
        <v>351</v>
      </c>
      <c r="E196">
        <f>IF(COUNTIF(OFICIAL!$C$90:$D$97, C196) &gt; 0, 1, 0)</f>
        <v>0</v>
      </c>
    </row>
    <row r="197" spans="1:6" x14ac:dyDescent="0.25">
      <c r="A197" t="s">
        <v>71</v>
      </c>
      <c r="B197" t="s">
        <v>150</v>
      </c>
      <c r="C197" t="s">
        <v>16</v>
      </c>
      <c r="D197" t="s">
        <v>352</v>
      </c>
      <c r="E197">
        <f>IF(COUNTIF(OFICIAL!$C$90:$D$97, C197) &gt; 0, 1, 0)</f>
        <v>0</v>
      </c>
    </row>
    <row r="198" spans="1:6" x14ac:dyDescent="0.25">
      <c r="A198" t="s">
        <v>71</v>
      </c>
      <c r="B198" t="s">
        <v>152</v>
      </c>
      <c r="C198" t="s">
        <v>29</v>
      </c>
      <c r="D198" t="s">
        <v>353</v>
      </c>
      <c r="E198">
        <f>IF(COUNTIF(OFICIAL!$C$90:$D$97, C198) &gt; 0, 1, 0)</f>
        <v>0</v>
      </c>
    </row>
    <row r="199" spans="1:6" x14ac:dyDescent="0.25">
      <c r="A199" t="s">
        <v>71</v>
      </c>
      <c r="B199" t="s">
        <v>154</v>
      </c>
      <c r="C199" t="s">
        <v>3</v>
      </c>
      <c r="D199" t="s">
        <v>354</v>
      </c>
      <c r="E199">
        <f>IF(COUNTIF(OFICIAL!$C$90:$D$97, C199) &gt; 0, 1, 0)</f>
        <v>0</v>
      </c>
    </row>
    <row r="200" spans="1:6" x14ac:dyDescent="0.25">
      <c r="A200" t="s">
        <v>71</v>
      </c>
      <c r="B200" t="s">
        <v>156</v>
      </c>
      <c r="C200" t="s">
        <v>56</v>
      </c>
      <c r="D200" t="s">
        <v>355</v>
      </c>
      <c r="E200">
        <f>IF(COUNTIF(OFICIAL!$C$90:$D$97, C200) &gt; 0, 1, 0)</f>
        <v>0</v>
      </c>
    </row>
    <row r="201" spans="1:6" x14ac:dyDescent="0.25">
      <c r="A201" t="s">
        <v>71</v>
      </c>
      <c r="B201" t="s">
        <v>158</v>
      </c>
      <c r="C201" t="s">
        <v>57</v>
      </c>
      <c r="D201" t="s">
        <v>356</v>
      </c>
      <c r="E201">
        <f>IF(COUNTIF(OFICIAL!$C$90:$D$97, C201) &gt; 0, 1, 0)</f>
        <v>0</v>
      </c>
    </row>
    <row r="202" spans="1:6" x14ac:dyDescent="0.25">
      <c r="A202" t="s">
        <v>71</v>
      </c>
      <c r="B202" t="s">
        <v>160</v>
      </c>
      <c r="C202" t="s">
        <v>33</v>
      </c>
      <c r="D202" t="s">
        <v>357</v>
      </c>
      <c r="E202">
        <f>IF(COUNTIF(OFICIAL!$C$90:$D$97, C202) &gt; 0, 1, 0)</f>
        <v>0</v>
      </c>
    </row>
    <row r="203" spans="1:6" x14ac:dyDescent="0.25">
      <c r="A203" t="s">
        <v>71</v>
      </c>
      <c r="B203" t="s">
        <v>162</v>
      </c>
      <c r="C203" t="s">
        <v>21</v>
      </c>
      <c r="D203" t="s">
        <v>358</v>
      </c>
      <c r="E203">
        <f>IF(COUNTIF(OFICIAL!$C$90:$D$97, C203) &gt; 0, 1, 0)</f>
        <v>0</v>
      </c>
    </row>
    <row r="204" spans="1:6" x14ac:dyDescent="0.25">
      <c r="A204" t="s">
        <v>71</v>
      </c>
      <c r="B204" t="s">
        <v>164</v>
      </c>
      <c r="C204" t="s">
        <v>36</v>
      </c>
      <c r="D204" t="s">
        <v>359</v>
      </c>
      <c r="E204">
        <f>IF(COUNTIF(OFICIAL!$C$90:$D$97, C204) &gt; 0, 1, 0)</f>
        <v>0</v>
      </c>
    </row>
    <row r="205" spans="1:6" x14ac:dyDescent="0.25">
      <c r="A205" t="s">
        <v>71</v>
      </c>
      <c r="B205" t="s">
        <v>166</v>
      </c>
      <c r="C205" t="s">
        <v>14</v>
      </c>
      <c r="D205" t="s">
        <v>360</v>
      </c>
      <c r="E205">
        <f>IF(COUNTIF(OFICIAL!$C$90:$D$97, C205) &gt; 0, 1, 0)</f>
        <v>0</v>
      </c>
    </row>
    <row r="206" spans="1:6" x14ac:dyDescent="0.25">
      <c r="A206" t="s">
        <v>71</v>
      </c>
      <c r="B206" t="s">
        <v>168</v>
      </c>
      <c r="C206" t="s">
        <v>48</v>
      </c>
      <c r="D206" t="s">
        <v>361</v>
      </c>
      <c r="E206">
        <f>IF(COUNTIF(OFICIAL!$C$90:$D$97, C206) &gt; 0, 1, 0)</f>
        <v>0</v>
      </c>
    </row>
    <row r="207" spans="1:6" x14ac:dyDescent="0.25">
      <c r="A207" t="s">
        <v>71</v>
      </c>
      <c r="B207" t="s">
        <v>170</v>
      </c>
      <c r="C207" t="s">
        <v>53</v>
      </c>
      <c r="D207" t="s">
        <v>362</v>
      </c>
      <c r="E207">
        <f>IF(COUNTIF(OFICIAL!$C$90:$D$97, C207) &gt; 0, 1, 0)</f>
        <v>0</v>
      </c>
    </row>
    <row r="208" spans="1:6" x14ac:dyDescent="0.25">
      <c r="A208" t="s">
        <v>71</v>
      </c>
      <c r="B208" t="s">
        <v>172</v>
      </c>
      <c r="C208" t="s">
        <v>11</v>
      </c>
      <c r="D208" t="s">
        <v>363</v>
      </c>
      <c r="E208">
        <f>IF(COUNTIF(OFICIAL!$C$90:$D$97, C208) &gt; 0, 1, 0)</f>
        <v>0</v>
      </c>
    </row>
    <row r="209" spans="1:6" x14ac:dyDescent="0.25">
      <c r="A209" t="s">
        <v>71</v>
      </c>
      <c r="B209" t="s">
        <v>174</v>
      </c>
      <c r="C209" t="s">
        <v>43</v>
      </c>
      <c r="D209" t="s">
        <v>364</v>
      </c>
      <c r="E209">
        <f>IF(COUNTIF(OFICIAL!$C$98:$D$101, C209) &gt; 0, 1, 0)</f>
        <v>0</v>
      </c>
    </row>
    <row r="210" spans="1:6" x14ac:dyDescent="0.25">
      <c r="A210" t="s">
        <v>71</v>
      </c>
      <c r="B210" t="s">
        <v>176</v>
      </c>
      <c r="C210" t="s">
        <v>6</v>
      </c>
      <c r="D210" t="s">
        <v>365</v>
      </c>
      <c r="E210">
        <f>IF(COUNTIF(OFICIAL!$C$98:$D$101, C210) &gt; 0, 1, 0)</f>
        <v>0</v>
      </c>
    </row>
    <row r="211" spans="1:6" x14ac:dyDescent="0.25">
      <c r="A211" t="s">
        <v>71</v>
      </c>
      <c r="B211" t="s">
        <v>178</v>
      </c>
      <c r="C211" t="s">
        <v>16</v>
      </c>
      <c r="D211" t="s">
        <v>366</v>
      </c>
      <c r="E211">
        <f>IF(COUNTIF(OFICIAL!$C$98:$D$101, C211) &gt; 0, 1, 0)</f>
        <v>0</v>
      </c>
    </row>
    <row r="212" spans="1:6" x14ac:dyDescent="0.25">
      <c r="A212" t="s">
        <v>71</v>
      </c>
      <c r="B212" t="s">
        <v>180</v>
      </c>
      <c r="C212" t="s">
        <v>56</v>
      </c>
      <c r="D212" t="s">
        <v>367</v>
      </c>
      <c r="E212">
        <f>IF(COUNTIF(OFICIAL!$C$98:$D$101, C212) &gt; 0, 1, 0)</f>
        <v>0</v>
      </c>
    </row>
    <row r="213" spans="1:6" x14ac:dyDescent="0.25">
      <c r="A213" t="s">
        <v>71</v>
      </c>
      <c r="B213" t="s">
        <v>182</v>
      </c>
      <c r="C213" t="s">
        <v>33</v>
      </c>
      <c r="D213" t="s">
        <v>368</v>
      </c>
      <c r="E213">
        <f>IF(COUNTIF(OFICIAL!$C$98:$D$101, C213) &gt; 0, 1, 0)</f>
        <v>0</v>
      </c>
    </row>
    <row r="214" spans="1:6" x14ac:dyDescent="0.25">
      <c r="A214" t="s">
        <v>71</v>
      </c>
      <c r="B214" t="s">
        <v>184</v>
      </c>
      <c r="C214" t="s">
        <v>36</v>
      </c>
      <c r="D214" t="s">
        <v>369</v>
      </c>
      <c r="E214">
        <f>IF(COUNTIF(OFICIAL!$C$98:$D$101, C214) &gt; 0, 1, 0)</f>
        <v>0</v>
      </c>
    </row>
    <row r="215" spans="1:6" x14ac:dyDescent="0.25">
      <c r="A215" t="s">
        <v>71</v>
      </c>
      <c r="B215" t="s">
        <v>122</v>
      </c>
      <c r="C215" t="s">
        <v>48</v>
      </c>
      <c r="D215" t="s">
        <v>338</v>
      </c>
      <c r="E215">
        <f>IF(COUNTIF(OFICIAL!$C$98:$D$101, C215) &gt; 0, 1, 0)</f>
        <v>0</v>
      </c>
    </row>
    <row r="216" spans="1:6" x14ac:dyDescent="0.25">
      <c r="A216" t="s">
        <v>71</v>
      </c>
      <c r="B216" t="s">
        <v>124</v>
      </c>
      <c r="C216" t="s">
        <v>53</v>
      </c>
      <c r="D216" t="s">
        <v>339</v>
      </c>
      <c r="E216">
        <f>IF(COUNTIF(OFICIAL!$C$98:$D$101, C216) &gt; 0, 1, 0)</f>
        <v>0</v>
      </c>
    </row>
    <row r="217" spans="1:6" x14ac:dyDescent="0.25">
      <c r="A217" t="s">
        <v>71</v>
      </c>
      <c r="B217" t="s">
        <v>126</v>
      </c>
      <c r="C217" t="s">
        <v>43</v>
      </c>
      <c r="D217" t="s">
        <v>340</v>
      </c>
      <c r="E217">
        <f>IF(COUNTIF(OFICIAL!$C$102:$D$103, C217) &gt; 0, 8, 0)</f>
        <v>0</v>
      </c>
    </row>
    <row r="218" spans="1:6" x14ac:dyDescent="0.25">
      <c r="A218" t="s">
        <v>71</v>
      </c>
      <c r="B218" t="s">
        <v>128</v>
      </c>
      <c r="C218" t="s">
        <v>16</v>
      </c>
      <c r="D218" t="s">
        <v>341</v>
      </c>
      <c r="E218">
        <f>IF(COUNTIF(OFICIAL!$C$102:$D$103, C218) &gt; 0, 8, 0)</f>
        <v>0</v>
      </c>
    </row>
    <row r="219" spans="1:6" x14ac:dyDescent="0.25">
      <c r="A219" t="s">
        <v>71</v>
      </c>
      <c r="B219" t="s">
        <v>130</v>
      </c>
      <c r="C219" t="s">
        <v>33</v>
      </c>
      <c r="D219" t="s">
        <v>342</v>
      </c>
      <c r="E219">
        <f>IF(COUNTIF(OFICIAL!$C$102:$D$103, C219) &gt; 0, 8, 0)</f>
        <v>0</v>
      </c>
    </row>
    <row r="220" spans="1:6" x14ac:dyDescent="0.25">
      <c r="A220" t="s">
        <v>71</v>
      </c>
      <c r="B220" t="s">
        <v>132</v>
      </c>
      <c r="C220" t="s">
        <v>48</v>
      </c>
      <c r="D220" t="s">
        <v>343</v>
      </c>
      <c r="E220">
        <f>IF(COUNTIF(OFICIAL!$C$102:$D$103, C220) &gt; 0, 8, 0)</f>
        <v>0</v>
      </c>
    </row>
    <row r="221" spans="1:6" x14ac:dyDescent="0.25">
      <c r="A221" t="s">
        <v>71</v>
      </c>
      <c r="B221" t="s">
        <v>134</v>
      </c>
      <c r="C221" t="s">
        <v>43</v>
      </c>
      <c r="D221" t="s">
        <v>344</v>
      </c>
      <c r="E221">
        <v>0</v>
      </c>
      <c r="F221" t="s">
        <v>887</v>
      </c>
    </row>
    <row r="222" spans="1:6" x14ac:dyDescent="0.25">
      <c r="A222" t="s">
        <v>71</v>
      </c>
      <c r="B222" t="s">
        <v>136</v>
      </c>
      <c r="C222" t="s">
        <v>48</v>
      </c>
      <c r="D222" t="s">
        <v>345</v>
      </c>
      <c r="E222">
        <v>0</v>
      </c>
      <c r="F222" t="s">
        <v>887</v>
      </c>
    </row>
    <row r="223" spans="1:6" x14ac:dyDescent="0.25">
      <c r="A223" t="s">
        <v>71</v>
      </c>
      <c r="B223" t="s">
        <v>138</v>
      </c>
      <c r="C223" t="s">
        <v>16</v>
      </c>
      <c r="D223" t="s">
        <v>346</v>
      </c>
      <c r="E223">
        <f>IF(COUNTIF(OFICIAL!$C$105:$D$105, C223) &gt; 0, 10, 0)</f>
        <v>0</v>
      </c>
    </row>
    <row r="224" spans="1:6" x14ac:dyDescent="0.25">
      <c r="A224" t="s">
        <v>71</v>
      </c>
      <c r="B224" t="s">
        <v>140</v>
      </c>
      <c r="C224" t="s">
        <v>33</v>
      </c>
      <c r="D224" t="s">
        <v>347</v>
      </c>
      <c r="E224">
        <f>IF(COUNTIF(OFICIAL!$C$105:$D$105, C224) &gt; 0, 10, 0)</f>
        <v>0</v>
      </c>
    </row>
    <row r="225" spans="1:6" x14ac:dyDescent="0.25">
      <c r="A225" t="s">
        <v>71</v>
      </c>
      <c r="B225" t="s">
        <v>186</v>
      </c>
      <c r="C225" t="s">
        <v>33</v>
      </c>
      <c r="D225" t="s">
        <v>370</v>
      </c>
      <c r="E225">
        <f>IF(C225=OFICIAL!K5, 20, 0)</f>
        <v>0</v>
      </c>
    </row>
    <row r="226" spans="1:6" x14ac:dyDescent="0.25">
      <c r="A226" t="s">
        <v>71</v>
      </c>
      <c r="B226" t="s">
        <v>188</v>
      </c>
      <c r="C226" t="s">
        <v>16</v>
      </c>
      <c r="D226" t="s">
        <v>371</v>
      </c>
      <c r="E226">
        <v>0</v>
      </c>
      <c r="F226" t="s">
        <v>887</v>
      </c>
    </row>
    <row r="227" spans="1:6" x14ac:dyDescent="0.25">
      <c r="A227" t="s">
        <v>71</v>
      </c>
      <c r="B227" t="s">
        <v>190</v>
      </c>
      <c r="C227" t="s">
        <v>43</v>
      </c>
      <c r="D227" t="s">
        <v>372</v>
      </c>
      <c r="E227">
        <f>IF(C227=OFICIAL!M5, 12, 0)</f>
        <v>0</v>
      </c>
    </row>
    <row r="228" spans="1:6" x14ac:dyDescent="0.25">
      <c r="A228" t="s">
        <v>71</v>
      </c>
      <c r="B228" t="s">
        <v>192</v>
      </c>
      <c r="C228" t="s">
        <v>48</v>
      </c>
      <c r="D228" t="s">
        <v>373</v>
      </c>
      <c r="E228">
        <v>0</v>
      </c>
      <c r="F228" t="s">
        <v>887</v>
      </c>
    </row>
    <row r="230" spans="1:6" ht="18" customHeight="1" thickBot="1" x14ac:dyDescent="0.3">
      <c r="A230" s="2" t="s">
        <v>543</v>
      </c>
      <c r="B230" s="3"/>
      <c r="C230" s="3"/>
      <c r="D230" s="3"/>
      <c r="E230" s="3"/>
      <c r="F230" s="3"/>
    </row>
    <row r="231" spans="1:6" ht="15.75" thickBot="1" x14ac:dyDescent="0.3">
      <c r="A231" t="s">
        <v>73</v>
      </c>
      <c r="B231" t="s">
        <v>142</v>
      </c>
      <c r="C231" t="s">
        <v>23</v>
      </c>
      <c r="D231" t="s">
        <v>384</v>
      </c>
      <c r="E231">
        <f>IF(COUNTIF(OFICIAL!$C$90:$D$97, C231) &gt; 0, 1, 0)</f>
        <v>0</v>
      </c>
      <c r="F231" s="7">
        <f>SUM(E231:E266)</f>
        <v>0</v>
      </c>
    </row>
    <row r="232" spans="1:6" x14ac:dyDescent="0.25">
      <c r="A232" t="s">
        <v>73</v>
      </c>
      <c r="B232" t="s">
        <v>144</v>
      </c>
      <c r="C232" t="s">
        <v>43</v>
      </c>
      <c r="D232" t="s">
        <v>385</v>
      </c>
      <c r="E232">
        <f>IF(COUNTIF(OFICIAL!$C$90:$D$97, C232) &gt; 0, 1, 0)</f>
        <v>0</v>
      </c>
    </row>
    <row r="233" spans="1:6" x14ac:dyDescent="0.25">
      <c r="A233" t="s">
        <v>73</v>
      </c>
      <c r="B233" t="s">
        <v>146</v>
      </c>
      <c r="C233" t="s">
        <v>5</v>
      </c>
      <c r="D233" t="s">
        <v>386</v>
      </c>
      <c r="E233">
        <f>IF(COUNTIF(OFICIAL!$C$90:$D$97, C233) &gt; 0, 1, 0)</f>
        <v>0</v>
      </c>
    </row>
    <row r="234" spans="1:6" x14ac:dyDescent="0.25">
      <c r="A234" t="s">
        <v>73</v>
      </c>
      <c r="B234" t="s">
        <v>148</v>
      </c>
      <c r="C234" t="s">
        <v>17</v>
      </c>
      <c r="D234" t="s">
        <v>387</v>
      </c>
      <c r="E234">
        <f>IF(COUNTIF(OFICIAL!$C$90:$D$97, C234) &gt; 0, 1, 0)</f>
        <v>0</v>
      </c>
    </row>
    <row r="235" spans="1:6" x14ac:dyDescent="0.25">
      <c r="A235" t="s">
        <v>73</v>
      </c>
      <c r="B235" t="s">
        <v>150</v>
      </c>
      <c r="C235" t="s">
        <v>16</v>
      </c>
      <c r="D235" t="s">
        <v>388</v>
      </c>
      <c r="E235">
        <f>IF(COUNTIF(OFICIAL!$C$90:$D$97, C235) &gt; 0, 1, 0)</f>
        <v>0</v>
      </c>
    </row>
    <row r="236" spans="1:6" x14ac:dyDescent="0.25">
      <c r="A236" t="s">
        <v>73</v>
      </c>
      <c r="B236" t="s">
        <v>152</v>
      </c>
      <c r="C236" t="s">
        <v>29</v>
      </c>
      <c r="D236" t="s">
        <v>389</v>
      </c>
      <c r="E236">
        <f>IF(COUNTIF(OFICIAL!$C$90:$D$97, C236) &gt; 0, 1, 0)</f>
        <v>0</v>
      </c>
    </row>
    <row r="237" spans="1:6" x14ac:dyDescent="0.25">
      <c r="A237" t="s">
        <v>73</v>
      </c>
      <c r="B237" t="s">
        <v>154</v>
      </c>
      <c r="C237" t="s">
        <v>3</v>
      </c>
      <c r="D237" t="s">
        <v>390</v>
      </c>
      <c r="E237">
        <f>IF(COUNTIF(OFICIAL!$C$90:$D$97, C237) &gt; 0, 1, 0)</f>
        <v>0</v>
      </c>
    </row>
    <row r="238" spans="1:6" x14ac:dyDescent="0.25">
      <c r="A238" t="s">
        <v>73</v>
      </c>
      <c r="B238" t="s">
        <v>156</v>
      </c>
      <c r="C238" t="s">
        <v>56</v>
      </c>
      <c r="D238" t="s">
        <v>391</v>
      </c>
      <c r="E238">
        <f>IF(COUNTIF(OFICIAL!$C$90:$D$97, C238) &gt; 0, 1, 0)</f>
        <v>0</v>
      </c>
    </row>
    <row r="239" spans="1:6" x14ac:dyDescent="0.25">
      <c r="A239" t="s">
        <v>73</v>
      </c>
      <c r="B239" t="s">
        <v>158</v>
      </c>
      <c r="C239" t="s">
        <v>61</v>
      </c>
      <c r="D239" t="s">
        <v>392</v>
      </c>
      <c r="E239">
        <f>IF(COUNTIF(OFICIAL!$C$90:$D$97, C239) &gt; 0, 1, 0)</f>
        <v>0</v>
      </c>
    </row>
    <row r="240" spans="1:6" x14ac:dyDescent="0.25">
      <c r="A240" t="s">
        <v>73</v>
      </c>
      <c r="B240" t="s">
        <v>160</v>
      </c>
      <c r="C240" t="s">
        <v>33</v>
      </c>
      <c r="D240" t="s">
        <v>393</v>
      </c>
      <c r="E240">
        <f>IF(COUNTIF(OFICIAL!$C$90:$D$97, C240) &gt; 0, 1, 0)</f>
        <v>0</v>
      </c>
    </row>
    <row r="241" spans="1:5" x14ac:dyDescent="0.25">
      <c r="A241" t="s">
        <v>73</v>
      </c>
      <c r="B241" t="s">
        <v>162</v>
      </c>
      <c r="C241" t="s">
        <v>21</v>
      </c>
      <c r="D241" t="s">
        <v>394</v>
      </c>
      <c r="E241">
        <f>IF(COUNTIF(OFICIAL!$C$90:$D$97, C241) &gt; 0, 1, 0)</f>
        <v>0</v>
      </c>
    </row>
    <row r="242" spans="1:5" x14ac:dyDescent="0.25">
      <c r="A242" t="s">
        <v>73</v>
      </c>
      <c r="B242" t="s">
        <v>164</v>
      </c>
      <c r="C242" t="s">
        <v>36</v>
      </c>
      <c r="D242" t="s">
        <v>395</v>
      </c>
      <c r="E242">
        <f>IF(COUNTIF(OFICIAL!$C$90:$D$97, C242) &gt; 0, 1, 0)</f>
        <v>0</v>
      </c>
    </row>
    <row r="243" spans="1:5" x14ac:dyDescent="0.25">
      <c r="A243" t="s">
        <v>73</v>
      </c>
      <c r="B243" t="s">
        <v>166</v>
      </c>
      <c r="C243" t="s">
        <v>28</v>
      </c>
      <c r="D243" t="s">
        <v>396</v>
      </c>
      <c r="E243">
        <f>IF(COUNTIF(OFICIAL!$C$90:$D$97, C243) &gt; 0, 1, 0)</f>
        <v>0</v>
      </c>
    </row>
    <row r="244" spans="1:5" x14ac:dyDescent="0.25">
      <c r="A244" t="s">
        <v>73</v>
      </c>
      <c r="B244" t="s">
        <v>168</v>
      </c>
      <c r="C244" t="s">
        <v>48</v>
      </c>
      <c r="D244" t="s">
        <v>397</v>
      </c>
      <c r="E244">
        <f>IF(COUNTIF(OFICIAL!$C$90:$D$97, C244) &gt; 0, 1, 0)</f>
        <v>0</v>
      </c>
    </row>
    <row r="245" spans="1:5" x14ac:dyDescent="0.25">
      <c r="A245" t="s">
        <v>73</v>
      </c>
      <c r="B245" t="s">
        <v>170</v>
      </c>
      <c r="C245" t="s">
        <v>53</v>
      </c>
      <c r="D245" t="s">
        <v>398</v>
      </c>
      <c r="E245">
        <f>IF(COUNTIF(OFICIAL!$C$90:$D$97, C245) &gt; 0, 1, 0)</f>
        <v>0</v>
      </c>
    </row>
    <row r="246" spans="1:5" x14ac:dyDescent="0.25">
      <c r="A246" t="s">
        <v>73</v>
      </c>
      <c r="B246" t="s">
        <v>172</v>
      </c>
      <c r="C246" t="s">
        <v>11</v>
      </c>
      <c r="D246" t="s">
        <v>399</v>
      </c>
      <c r="E246">
        <f>IF(COUNTIF(OFICIAL!$C$90:$D$97, C246) &gt; 0, 1, 0)</f>
        <v>0</v>
      </c>
    </row>
    <row r="247" spans="1:5" x14ac:dyDescent="0.25">
      <c r="A247" t="s">
        <v>73</v>
      </c>
      <c r="B247" t="s">
        <v>174</v>
      </c>
      <c r="C247" t="s">
        <v>43</v>
      </c>
      <c r="D247" t="s">
        <v>400</v>
      </c>
      <c r="E247">
        <f>IF(COUNTIF(OFICIAL!$C$98:$D$101, C247) &gt; 0, 1, 0)</f>
        <v>0</v>
      </c>
    </row>
    <row r="248" spans="1:5" x14ac:dyDescent="0.25">
      <c r="A248" t="s">
        <v>73</v>
      </c>
      <c r="B248" t="s">
        <v>176</v>
      </c>
      <c r="C248" t="s">
        <v>17</v>
      </c>
      <c r="D248" t="s">
        <v>401</v>
      </c>
      <c r="E248">
        <f>IF(COUNTIF(OFICIAL!$C$98:$D$101, C248) &gt; 0, 1, 0)</f>
        <v>0</v>
      </c>
    </row>
    <row r="249" spans="1:5" x14ac:dyDescent="0.25">
      <c r="A249" t="s">
        <v>73</v>
      </c>
      <c r="B249" t="s">
        <v>178</v>
      </c>
      <c r="C249" t="s">
        <v>29</v>
      </c>
      <c r="D249" t="s">
        <v>402</v>
      </c>
      <c r="E249">
        <f>IF(COUNTIF(OFICIAL!$C$98:$D$101, C249) &gt; 0, 1, 0)</f>
        <v>0</v>
      </c>
    </row>
    <row r="250" spans="1:5" x14ac:dyDescent="0.25">
      <c r="A250" t="s">
        <v>73</v>
      </c>
      <c r="B250" t="s">
        <v>180</v>
      </c>
      <c r="C250" t="s">
        <v>56</v>
      </c>
      <c r="D250" t="s">
        <v>403</v>
      </c>
      <c r="E250">
        <f>IF(COUNTIF(OFICIAL!$C$98:$D$101, C250) &gt; 0, 1, 0)</f>
        <v>0</v>
      </c>
    </row>
    <row r="251" spans="1:5" x14ac:dyDescent="0.25">
      <c r="A251" t="s">
        <v>73</v>
      </c>
      <c r="B251" t="s">
        <v>182</v>
      </c>
      <c r="C251" t="s">
        <v>33</v>
      </c>
      <c r="D251" t="s">
        <v>404</v>
      </c>
      <c r="E251">
        <f>IF(COUNTIF(OFICIAL!$C$98:$D$101, C251) &gt; 0, 1, 0)</f>
        <v>0</v>
      </c>
    </row>
    <row r="252" spans="1:5" x14ac:dyDescent="0.25">
      <c r="A252" t="s">
        <v>73</v>
      </c>
      <c r="B252" t="s">
        <v>184</v>
      </c>
      <c r="C252" t="s">
        <v>36</v>
      </c>
      <c r="D252" t="s">
        <v>405</v>
      </c>
      <c r="E252">
        <f>IF(COUNTIF(OFICIAL!$C$98:$D$101, C252) &gt; 0, 1, 0)</f>
        <v>0</v>
      </c>
    </row>
    <row r="253" spans="1:5" x14ac:dyDescent="0.25">
      <c r="A253" t="s">
        <v>73</v>
      </c>
      <c r="B253" t="s">
        <v>122</v>
      </c>
      <c r="C253" t="s">
        <v>48</v>
      </c>
      <c r="D253" t="s">
        <v>374</v>
      </c>
      <c r="E253">
        <f>IF(COUNTIF(OFICIAL!$C$98:$D$101, C253) &gt; 0, 1, 0)</f>
        <v>0</v>
      </c>
    </row>
    <row r="254" spans="1:5" x14ac:dyDescent="0.25">
      <c r="A254" t="s">
        <v>73</v>
      </c>
      <c r="B254" t="s">
        <v>124</v>
      </c>
      <c r="C254" t="s">
        <v>53</v>
      </c>
      <c r="D254" t="s">
        <v>375</v>
      </c>
      <c r="E254">
        <f>IF(COUNTIF(OFICIAL!$C$98:$D$101, C254) &gt; 0, 1, 0)</f>
        <v>0</v>
      </c>
    </row>
    <row r="255" spans="1:5" x14ac:dyDescent="0.25">
      <c r="A255" t="s">
        <v>73</v>
      </c>
      <c r="B255" t="s">
        <v>126</v>
      </c>
      <c r="C255" t="s">
        <v>43</v>
      </c>
      <c r="D255" t="s">
        <v>376</v>
      </c>
      <c r="E255">
        <f>IF(COUNTIF(OFICIAL!$C$102:$D$103, C255) &gt; 0, 8, 0)</f>
        <v>0</v>
      </c>
    </row>
    <row r="256" spans="1:5" x14ac:dyDescent="0.25">
      <c r="A256" t="s">
        <v>73</v>
      </c>
      <c r="B256" t="s">
        <v>128</v>
      </c>
      <c r="C256" t="s">
        <v>56</v>
      </c>
      <c r="D256" t="s">
        <v>377</v>
      </c>
      <c r="E256">
        <f>IF(COUNTIF(OFICIAL!$C$102:$D$103, C256) &gt; 0, 8, 0)</f>
        <v>0</v>
      </c>
    </row>
    <row r="257" spans="1:6" x14ac:dyDescent="0.25">
      <c r="A257" t="s">
        <v>73</v>
      </c>
      <c r="B257" t="s">
        <v>130</v>
      </c>
      <c r="C257" t="s">
        <v>33</v>
      </c>
      <c r="D257" t="s">
        <v>378</v>
      </c>
      <c r="E257">
        <f>IF(COUNTIF(OFICIAL!$C$102:$D$103, C257) &gt; 0, 8, 0)</f>
        <v>0</v>
      </c>
    </row>
    <row r="258" spans="1:6" x14ac:dyDescent="0.25">
      <c r="A258" t="s">
        <v>73</v>
      </c>
      <c r="B258" t="s">
        <v>132</v>
      </c>
      <c r="C258" t="s">
        <v>53</v>
      </c>
      <c r="D258" t="s">
        <v>379</v>
      </c>
      <c r="E258">
        <f>IF(COUNTIF(OFICIAL!$C$102:$D$103, C258) &gt; 0, 8, 0)</f>
        <v>0</v>
      </c>
    </row>
    <row r="259" spans="1:6" x14ac:dyDescent="0.25">
      <c r="A259" t="s">
        <v>73</v>
      </c>
      <c r="B259" t="s">
        <v>134</v>
      </c>
      <c r="C259" t="s">
        <v>56</v>
      </c>
      <c r="D259" t="s">
        <v>380</v>
      </c>
      <c r="E259">
        <v>0</v>
      </c>
      <c r="F259" t="s">
        <v>887</v>
      </c>
    </row>
    <row r="260" spans="1:6" x14ac:dyDescent="0.25">
      <c r="A260" t="s">
        <v>73</v>
      </c>
      <c r="B260" t="s">
        <v>136</v>
      </c>
      <c r="C260" t="s">
        <v>33</v>
      </c>
      <c r="D260" t="s">
        <v>381</v>
      </c>
      <c r="E260">
        <v>0</v>
      </c>
      <c r="F260" t="s">
        <v>887</v>
      </c>
    </row>
    <row r="261" spans="1:6" x14ac:dyDescent="0.25">
      <c r="A261" t="s">
        <v>73</v>
      </c>
      <c r="B261" t="s">
        <v>138</v>
      </c>
      <c r="C261" t="s">
        <v>43</v>
      </c>
      <c r="D261" t="s">
        <v>382</v>
      </c>
      <c r="E261">
        <f>IF(COUNTIF(OFICIAL!$C$105:$D$105, C261) &gt; 0, 10, 0)</f>
        <v>0</v>
      </c>
    </row>
    <row r="262" spans="1:6" x14ac:dyDescent="0.25">
      <c r="A262" t="s">
        <v>73</v>
      </c>
      <c r="B262" t="s">
        <v>140</v>
      </c>
      <c r="C262" t="s">
        <v>53</v>
      </c>
      <c r="D262" t="s">
        <v>383</v>
      </c>
      <c r="E262">
        <f>IF(COUNTIF(OFICIAL!$C$105:$D$105, C262) &gt; 0, 10, 0)</f>
        <v>0</v>
      </c>
    </row>
    <row r="263" spans="1:6" x14ac:dyDescent="0.25">
      <c r="A263" t="s">
        <v>73</v>
      </c>
      <c r="B263" t="s">
        <v>186</v>
      </c>
      <c r="C263" t="s">
        <v>43</v>
      </c>
      <c r="D263" t="s">
        <v>406</v>
      </c>
      <c r="E263">
        <f>IF(C263=OFICIAL!K5, 20, 0)</f>
        <v>0</v>
      </c>
    </row>
    <row r="264" spans="1:6" x14ac:dyDescent="0.25">
      <c r="A264" t="s">
        <v>73</v>
      </c>
      <c r="B264" t="s">
        <v>188</v>
      </c>
      <c r="C264" t="s">
        <v>53</v>
      </c>
      <c r="D264" t="s">
        <v>407</v>
      </c>
      <c r="E264">
        <v>0</v>
      </c>
      <c r="F264" t="s">
        <v>887</v>
      </c>
    </row>
    <row r="265" spans="1:6" x14ac:dyDescent="0.25">
      <c r="A265" t="s">
        <v>73</v>
      </c>
      <c r="B265" t="s">
        <v>190</v>
      </c>
      <c r="C265" t="s">
        <v>33</v>
      </c>
      <c r="D265" t="s">
        <v>408</v>
      </c>
      <c r="E265">
        <f>IF(C265=OFICIAL!M5, 12, 0)</f>
        <v>0</v>
      </c>
    </row>
    <row r="266" spans="1:6" x14ac:dyDescent="0.25">
      <c r="A266" t="s">
        <v>73</v>
      </c>
      <c r="B266" t="s">
        <v>192</v>
      </c>
      <c r="C266" t="s">
        <v>56</v>
      </c>
      <c r="D266" t="s">
        <v>409</v>
      </c>
      <c r="E266">
        <v>0</v>
      </c>
      <c r="F266" t="s">
        <v>887</v>
      </c>
    </row>
    <row r="268" spans="1:6" ht="18" customHeight="1" thickBot="1" x14ac:dyDescent="0.3">
      <c r="A268" s="2" t="s">
        <v>544</v>
      </c>
      <c r="B268" s="3"/>
      <c r="C268" s="3"/>
      <c r="D268" s="3"/>
      <c r="E268" s="3"/>
      <c r="F268" s="3"/>
    </row>
    <row r="269" spans="1:6" ht="15.75" thickBot="1" x14ac:dyDescent="0.3">
      <c r="A269" t="s">
        <v>75</v>
      </c>
      <c r="B269" t="s">
        <v>142</v>
      </c>
      <c r="C269" t="s">
        <v>23</v>
      </c>
      <c r="D269" t="s">
        <v>420</v>
      </c>
      <c r="E269">
        <f>IF(COUNTIF(OFICIAL!$C$90:$D$97, C269) &gt; 0, 1, 0)</f>
        <v>0</v>
      </c>
      <c r="F269" s="7">
        <f>SUM(E269:E304)</f>
        <v>0</v>
      </c>
    </row>
    <row r="270" spans="1:6" x14ac:dyDescent="0.25">
      <c r="A270" t="s">
        <v>75</v>
      </c>
      <c r="B270" t="s">
        <v>144</v>
      </c>
      <c r="C270" t="s">
        <v>43</v>
      </c>
      <c r="D270" t="s">
        <v>421</v>
      </c>
      <c r="E270">
        <f>IF(COUNTIF(OFICIAL!$C$90:$D$97, C270) &gt; 0, 1, 0)</f>
        <v>0</v>
      </c>
    </row>
    <row r="271" spans="1:6" x14ac:dyDescent="0.25">
      <c r="A271" t="s">
        <v>75</v>
      </c>
      <c r="B271" t="s">
        <v>146</v>
      </c>
      <c r="C271" t="s">
        <v>6</v>
      </c>
      <c r="D271" t="s">
        <v>422</v>
      </c>
      <c r="E271">
        <f>IF(COUNTIF(OFICIAL!$C$90:$D$97, C271) &gt; 0, 1, 0)</f>
        <v>0</v>
      </c>
    </row>
    <row r="272" spans="1:6" x14ac:dyDescent="0.25">
      <c r="A272" t="s">
        <v>75</v>
      </c>
      <c r="B272" t="s">
        <v>148</v>
      </c>
      <c r="C272" t="s">
        <v>26</v>
      </c>
      <c r="D272" t="s">
        <v>423</v>
      </c>
      <c r="E272">
        <f>IF(COUNTIF(OFICIAL!$C$90:$D$97, C272) &gt; 0, 1, 0)</f>
        <v>0</v>
      </c>
    </row>
    <row r="273" spans="1:5" x14ac:dyDescent="0.25">
      <c r="A273" t="s">
        <v>75</v>
      </c>
      <c r="B273" t="s">
        <v>150</v>
      </c>
      <c r="C273" t="s">
        <v>16</v>
      </c>
      <c r="D273" t="s">
        <v>424</v>
      </c>
      <c r="E273">
        <f>IF(COUNTIF(OFICIAL!$C$90:$D$97, C273) &gt; 0, 1, 0)</f>
        <v>0</v>
      </c>
    </row>
    <row r="274" spans="1:5" x14ac:dyDescent="0.25">
      <c r="A274" t="s">
        <v>75</v>
      </c>
      <c r="B274" t="s">
        <v>152</v>
      </c>
      <c r="C274" t="s">
        <v>46</v>
      </c>
      <c r="D274" t="s">
        <v>425</v>
      </c>
      <c r="E274">
        <f>IF(COUNTIF(OFICIAL!$C$90:$D$97, C274) &gt; 0, 1, 0)</f>
        <v>0</v>
      </c>
    </row>
    <row r="275" spans="1:5" x14ac:dyDescent="0.25">
      <c r="A275" t="s">
        <v>75</v>
      </c>
      <c r="B275" t="s">
        <v>154</v>
      </c>
      <c r="C275" t="s">
        <v>3</v>
      </c>
      <c r="D275" t="s">
        <v>426</v>
      </c>
      <c r="E275">
        <f>IF(COUNTIF(OFICIAL!$C$90:$D$97, C275) &gt; 0, 1, 0)</f>
        <v>0</v>
      </c>
    </row>
    <row r="276" spans="1:5" x14ac:dyDescent="0.25">
      <c r="A276" t="s">
        <v>75</v>
      </c>
      <c r="B276" t="s">
        <v>156</v>
      </c>
      <c r="C276" t="s">
        <v>56</v>
      </c>
      <c r="D276" t="s">
        <v>427</v>
      </c>
      <c r="E276">
        <f>IF(COUNTIF(OFICIAL!$C$90:$D$97, C276) &gt; 0, 1, 0)</f>
        <v>0</v>
      </c>
    </row>
    <row r="277" spans="1:5" x14ac:dyDescent="0.25">
      <c r="A277" t="s">
        <v>75</v>
      </c>
      <c r="B277" t="s">
        <v>158</v>
      </c>
      <c r="C277" t="s">
        <v>57</v>
      </c>
      <c r="D277" t="s">
        <v>428</v>
      </c>
      <c r="E277">
        <f>IF(COUNTIF(OFICIAL!$C$90:$D$97, C277) &gt; 0, 1, 0)</f>
        <v>0</v>
      </c>
    </row>
    <row r="278" spans="1:5" x14ac:dyDescent="0.25">
      <c r="A278" t="s">
        <v>75</v>
      </c>
      <c r="B278" t="s">
        <v>160</v>
      </c>
      <c r="C278" t="s">
        <v>33</v>
      </c>
      <c r="D278" t="s">
        <v>429</v>
      </c>
      <c r="E278">
        <f>IF(COUNTIF(OFICIAL!$C$90:$D$97, C278) &gt; 0, 1, 0)</f>
        <v>0</v>
      </c>
    </row>
    <row r="279" spans="1:5" x14ac:dyDescent="0.25">
      <c r="A279" t="s">
        <v>75</v>
      </c>
      <c r="B279" t="s">
        <v>162</v>
      </c>
      <c r="C279" t="s">
        <v>21</v>
      </c>
      <c r="D279" t="s">
        <v>430</v>
      </c>
      <c r="E279">
        <f>IF(COUNTIF(OFICIAL!$C$90:$D$97, C279) &gt; 0, 1, 0)</f>
        <v>0</v>
      </c>
    </row>
    <row r="280" spans="1:5" x14ac:dyDescent="0.25">
      <c r="A280" t="s">
        <v>75</v>
      </c>
      <c r="B280" t="s">
        <v>164</v>
      </c>
      <c r="C280" t="s">
        <v>36</v>
      </c>
      <c r="D280" t="s">
        <v>431</v>
      </c>
      <c r="E280">
        <f>IF(COUNTIF(OFICIAL!$C$90:$D$97, C280) &gt; 0, 1, 0)</f>
        <v>0</v>
      </c>
    </row>
    <row r="281" spans="1:5" x14ac:dyDescent="0.25">
      <c r="A281" t="s">
        <v>75</v>
      </c>
      <c r="B281" t="s">
        <v>166</v>
      </c>
      <c r="C281" t="s">
        <v>14</v>
      </c>
      <c r="D281" t="s">
        <v>432</v>
      </c>
      <c r="E281">
        <f>IF(COUNTIF(OFICIAL!$C$90:$D$97, C281) &gt; 0, 1, 0)</f>
        <v>0</v>
      </c>
    </row>
    <row r="282" spans="1:5" x14ac:dyDescent="0.25">
      <c r="A282" t="s">
        <v>75</v>
      </c>
      <c r="B282" t="s">
        <v>168</v>
      </c>
      <c r="C282" t="s">
        <v>48</v>
      </c>
      <c r="D282" t="s">
        <v>433</v>
      </c>
      <c r="E282">
        <f>IF(COUNTIF(OFICIAL!$C$90:$D$97, C282) &gt; 0, 1, 0)</f>
        <v>0</v>
      </c>
    </row>
    <row r="283" spans="1:5" x14ac:dyDescent="0.25">
      <c r="A283" t="s">
        <v>75</v>
      </c>
      <c r="B283" t="s">
        <v>170</v>
      </c>
      <c r="C283" t="s">
        <v>53</v>
      </c>
      <c r="D283" t="s">
        <v>434</v>
      </c>
      <c r="E283">
        <f>IF(COUNTIF(OFICIAL!$C$90:$D$97, C283) &gt; 0, 1, 0)</f>
        <v>0</v>
      </c>
    </row>
    <row r="284" spans="1:5" x14ac:dyDescent="0.25">
      <c r="A284" t="s">
        <v>75</v>
      </c>
      <c r="B284" t="s">
        <v>172</v>
      </c>
      <c r="C284" t="s">
        <v>11</v>
      </c>
      <c r="D284" t="s">
        <v>435</v>
      </c>
      <c r="E284">
        <f>IF(COUNTIF(OFICIAL!$C$90:$D$97, C284) &gt; 0, 1, 0)</f>
        <v>0</v>
      </c>
    </row>
    <row r="285" spans="1:5" x14ac:dyDescent="0.25">
      <c r="A285" t="s">
        <v>75</v>
      </c>
      <c r="B285" t="s">
        <v>174</v>
      </c>
      <c r="C285" t="s">
        <v>43</v>
      </c>
      <c r="D285" t="s">
        <v>436</v>
      </c>
      <c r="E285">
        <f>IF(COUNTIF(OFICIAL!$C$98:$D$101, C285) &gt; 0, 1, 0)</f>
        <v>0</v>
      </c>
    </row>
    <row r="286" spans="1:5" x14ac:dyDescent="0.25">
      <c r="A286" t="s">
        <v>75</v>
      </c>
      <c r="B286" t="s">
        <v>176</v>
      </c>
      <c r="C286" t="s">
        <v>26</v>
      </c>
      <c r="D286" t="s">
        <v>437</v>
      </c>
      <c r="E286">
        <f>IF(COUNTIF(OFICIAL!$C$98:$D$101, C286) &gt; 0, 1, 0)</f>
        <v>0</v>
      </c>
    </row>
    <row r="287" spans="1:5" x14ac:dyDescent="0.25">
      <c r="A287" t="s">
        <v>75</v>
      </c>
      <c r="B287" t="s">
        <v>178</v>
      </c>
      <c r="C287" t="s">
        <v>16</v>
      </c>
      <c r="D287" t="s">
        <v>438</v>
      </c>
      <c r="E287">
        <f>IF(COUNTIF(OFICIAL!$C$98:$D$101, C287) &gt; 0, 1, 0)</f>
        <v>0</v>
      </c>
    </row>
    <row r="288" spans="1:5" x14ac:dyDescent="0.25">
      <c r="A288" t="s">
        <v>75</v>
      </c>
      <c r="B288" t="s">
        <v>180</v>
      </c>
      <c r="C288" t="s">
        <v>56</v>
      </c>
      <c r="D288" t="s">
        <v>439</v>
      </c>
      <c r="E288">
        <f>IF(COUNTIF(OFICIAL!$C$98:$D$101, C288) &gt; 0, 1, 0)</f>
        <v>0</v>
      </c>
    </row>
    <row r="289" spans="1:6" x14ac:dyDescent="0.25">
      <c r="A289" t="s">
        <v>75</v>
      </c>
      <c r="B289" t="s">
        <v>182</v>
      </c>
      <c r="C289" t="s">
        <v>33</v>
      </c>
      <c r="D289" t="s">
        <v>440</v>
      </c>
      <c r="E289">
        <f>IF(COUNTIF(OFICIAL!$C$98:$D$101, C289) &gt; 0, 1, 0)</f>
        <v>0</v>
      </c>
    </row>
    <row r="290" spans="1:6" x14ac:dyDescent="0.25">
      <c r="A290" t="s">
        <v>75</v>
      </c>
      <c r="B290" t="s">
        <v>184</v>
      </c>
      <c r="C290" t="s">
        <v>36</v>
      </c>
      <c r="D290" t="s">
        <v>441</v>
      </c>
      <c r="E290">
        <f>IF(COUNTIF(OFICIAL!$C$98:$D$101, C290) &gt; 0, 1, 0)</f>
        <v>0</v>
      </c>
    </row>
    <row r="291" spans="1:6" x14ac:dyDescent="0.25">
      <c r="A291" t="s">
        <v>75</v>
      </c>
      <c r="B291" t="s">
        <v>122</v>
      </c>
      <c r="C291" t="s">
        <v>48</v>
      </c>
      <c r="D291" t="s">
        <v>410</v>
      </c>
      <c r="E291">
        <f>IF(COUNTIF(OFICIAL!$C$98:$D$101, C291) &gt; 0, 1, 0)</f>
        <v>0</v>
      </c>
    </row>
    <row r="292" spans="1:6" x14ac:dyDescent="0.25">
      <c r="A292" t="s">
        <v>75</v>
      </c>
      <c r="B292" t="s">
        <v>124</v>
      </c>
      <c r="C292" t="s">
        <v>53</v>
      </c>
      <c r="D292" t="s">
        <v>411</v>
      </c>
      <c r="E292">
        <f>IF(COUNTIF(OFICIAL!$C$98:$D$101, C292) &gt; 0, 1, 0)</f>
        <v>0</v>
      </c>
    </row>
    <row r="293" spans="1:6" x14ac:dyDescent="0.25">
      <c r="A293" t="s">
        <v>75</v>
      </c>
      <c r="B293" t="s">
        <v>126</v>
      </c>
      <c r="C293" t="s">
        <v>43</v>
      </c>
      <c r="D293" t="s">
        <v>412</v>
      </c>
      <c r="E293">
        <f>IF(COUNTIF(OFICIAL!$C$102:$D$103, C293) &gt; 0, 8, 0)</f>
        <v>0</v>
      </c>
    </row>
    <row r="294" spans="1:6" x14ac:dyDescent="0.25">
      <c r="A294" t="s">
        <v>75</v>
      </c>
      <c r="B294" t="s">
        <v>128</v>
      </c>
      <c r="C294" t="s">
        <v>16</v>
      </c>
      <c r="D294" t="s">
        <v>413</v>
      </c>
      <c r="E294">
        <f>IF(COUNTIF(OFICIAL!$C$102:$D$103, C294) &gt; 0, 8, 0)</f>
        <v>0</v>
      </c>
    </row>
    <row r="295" spans="1:6" x14ac:dyDescent="0.25">
      <c r="A295" t="s">
        <v>75</v>
      </c>
      <c r="B295" t="s">
        <v>130</v>
      </c>
      <c r="C295" t="s">
        <v>33</v>
      </c>
      <c r="D295" t="s">
        <v>414</v>
      </c>
      <c r="E295">
        <f>IF(COUNTIF(OFICIAL!$C$102:$D$103, C295) &gt; 0, 8, 0)</f>
        <v>0</v>
      </c>
    </row>
    <row r="296" spans="1:6" x14ac:dyDescent="0.25">
      <c r="A296" t="s">
        <v>75</v>
      </c>
      <c r="B296" t="s">
        <v>132</v>
      </c>
      <c r="C296" t="s">
        <v>48</v>
      </c>
      <c r="D296" t="s">
        <v>415</v>
      </c>
      <c r="E296">
        <f>IF(COUNTIF(OFICIAL!$C$102:$D$103, C296) &gt; 0, 8, 0)</f>
        <v>0</v>
      </c>
    </row>
    <row r="297" spans="1:6" x14ac:dyDescent="0.25">
      <c r="A297" t="s">
        <v>75</v>
      </c>
      <c r="B297" t="s">
        <v>134</v>
      </c>
      <c r="C297" t="s">
        <v>16</v>
      </c>
      <c r="D297" t="s">
        <v>416</v>
      </c>
      <c r="E297">
        <v>0</v>
      </c>
      <c r="F297" t="s">
        <v>887</v>
      </c>
    </row>
    <row r="298" spans="1:6" x14ac:dyDescent="0.25">
      <c r="A298" t="s">
        <v>75</v>
      </c>
      <c r="B298" t="s">
        <v>136</v>
      </c>
      <c r="C298" t="s">
        <v>48</v>
      </c>
      <c r="D298" t="s">
        <v>417</v>
      </c>
      <c r="E298">
        <v>0</v>
      </c>
      <c r="F298" t="s">
        <v>887</v>
      </c>
    </row>
    <row r="299" spans="1:6" x14ac:dyDescent="0.25">
      <c r="A299" t="s">
        <v>75</v>
      </c>
      <c r="B299" t="s">
        <v>138</v>
      </c>
      <c r="C299" t="s">
        <v>43</v>
      </c>
      <c r="D299" t="s">
        <v>418</v>
      </c>
      <c r="E299">
        <f>IF(COUNTIF(OFICIAL!$C$105:$D$105, C299) &gt; 0, 10, 0)</f>
        <v>0</v>
      </c>
    </row>
    <row r="300" spans="1:6" x14ac:dyDescent="0.25">
      <c r="A300" t="s">
        <v>75</v>
      </c>
      <c r="B300" t="s">
        <v>140</v>
      </c>
      <c r="C300" t="s">
        <v>33</v>
      </c>
      <c r="D300" t="s">
        <v>419</v>
      </c>
      <c r="E300">
        <f>IF(COUNTIF(OFICIAL!$C$105:$D$105, C300) &gt; 0, 10, 0)</f>
        <v>0</v>
      </c>
    </row>
    <row r="301" spans="1:6" x14ac:dyDescent="0.25">
      <c r="A301" t="s">
        <v>75</v>
      </c>
      <c r="B301" t="s">
        <v>186</v>
      </c>
      <c r="C301" t="s">
        <v>33</v>
      </c>
      <c r="D301" t="s">
        <v>442</v>
      </c>
      <c r="E301">
        <f>IF(C301=OFICIAL!K5, 20, 0)</f>
        <v>0</v>
      </c>
    </row>
    <row r="302" spans="1:6" x14ac:dyDescent="0.25">
      <c r="A302" t="s">
        <v>75</v>
      </c>
      <c r="B302" t="s">
        <v>188</v>
      </c>
      <c r="C302" t="s">
        <v>43</v>
      </c>
      <c r="D302" t="s">
        <v>443</v>
      </c>
      <c r="E302">
        <v>0</v>
      </c>
      <c r="F302" t="s">
        <v>887</v>
      </c>
    </row>
    <row r="303" spans="1:6" x14ac:dyDescent="0.25">
      <c r="A303" t="s">
        <v>75</v>
      </c>
      <c r="B303" t="s">
        <v>190</v>
      </c>
      <c r="C303" t="s">
        <v>48</v>
      </c>
      <c r="D303" t="s">
        <v>444</v>
      </c>
      <c r="E303">
        <f>IF(C303=OFICIAL!M5, 12, 0)</f>
        <v>0</v>
      </c>
    </row>
    <row r="304" spans="1:6" x14ac:dyDescent="0.25">
      <c r="A304" t="s">
        <v>75</v>
      </c>
      <c r="B304" t="s">
        <v>192</v>
      </c>
      <c r="C304" t="s">
        <v>16</v>
      </c>
      <c r="D304" t="s">
        <v>445</v>
      </c>
      <c r="E304">
        <v>0</v>
      </c>
      <c r="F304" t="s">
        <v>887</v>
      </c>
    </row>
    <row r="306" spans="1:6" ht="18" customHeight="1" thickBot="1" x14ac:dyDescent="0.3">
      <c r="A306" s="2" t="s">
        <v>545</v>
      </c>
      <c r="B306" s="3"/>
      <c r="C306" s="3"/>
      <c r="D306" s="3"/>
      <c r="E306" s="3"/>
      <c r="F306" s="3"/>
    </row>
    <row r="307" spans="1:6" ht="15.75" thickBot="1" x14ac:dyDescent="0.3">
      <c r="A307" t="s">
        <v>77</v>
      </c>
      <c r="B307" t="s">
        <v>142</v>
      </c>
      <c r="C307" t="s">
        <v>23</v>
      </c>
      <c r="D307" t="s">
        <v>456</v>
      </c>
      <c r="E307">
        <f>IF(COUNTIF(OFICIAL!$C$90:$D$97, C307) &gt; 0, 1, 0)</f>
        <v>0</v>
      </c>
      <c r="F307" s="7">
        <f>SUM(E307:E342)</f>
        <v>0</v>
      </c>
    </row>
    <row r="308" spans="1:6" x14ac:dyDescent="0.25">
      <c r="A308" t="s">
        <v>77</v>
      </c>
      <c r="B308" t="s">
        <v>144</v>
      </c>
      <c r="C308" t="s">
        <v>43</v>
      </c>
      <c r="D308" t="s">
        <v>457</v>
      </c>
      <c r="E308">
        <f>IF(COUNTIF(OFICIAL!$C$90:$D$97, C308) &gt; 0, 1, 0)</f>
        <v>0</v>
      </c>
    </row>
    <row r="309" spans="1:6" x14ac:dyDescent="0.25">
      <c r="A309" t="s">
        <v>77</v>
      </c>
      <c r="B309" t="s">
        <v>146</v>
      </c>
      <c r="C309" t="s">
        <v>8</v>
      </c>
      <c r="D309" t="s">
        <v>458</v>
      </c>
      <c r="E309">
        <f>IF(COUNTIF(OFICIAL!$C$90:$D$97, C309) &gt; 0, 1, 0)</f>
        <v>0</v>
      </c>
    </row>
    <row r="310" spans="1:6" x14ac:dyDescent="0.25">
      <c r="A310" t="s">
        <v>77</v>
      </c>
      <c r="B310" t="s">
        <v>148</v>
      </c>
      <c r="C310" t="s">
        <v>27</v>
      </c>
      <c r="D310" t="s">
        <v>459</v>
      </c>
      <c r="E310">
        <f>IF(COUNTIF(OFICIAL!$C$90:$D$97, C310) &gt; 0, 1, 0)</f>
        <v>0</v>
      </c>
    </row>
    <row r="311" spans="1:6" x14ac:dyDescent="0.25">
      <c r="A311" t="s">
        <v>77</v>
      </c>
      <c r="B311" t="s">
        <v>150</v>
      </c>
      <c r="C311" t="s">
        <v>16</v>
      </c>
      <c r="D311" t="s">
        <v>460</v>
      </c>
      <c r="E311">
        <f>IF(COUNTIF(OFICIAL!$C$90:$D$97, C311) &gt; 0, 1, 0)</f>
        <v>0</v>
      </c>
    </row>
    <row r="312" spans="1:6" x14ac:dyDescent="0.25">
      <c r="A312" t="s">
        <v>77</v>
      </c>
      <c r="B312" t="s">
        <v>152</v>
      </c>
      <c r="C312" t="s">
        <v>29</v>
      </c>
      <c r="D312" t="s">
        <v>461</v>
      </c>
      <c r="E312">
        <f>IF(COUNTIF(OFICIAL!$C$90:$D$97, C312) &gt; 0, 1, 0)</f>
        <v>0</v>
      </c>
    </row>
    <row r="313" spans="1:6" x14ac:dyDescent="0.25">
      <c r="A313" t="s">
        <v>77</v>
      </c>
      <c r="B313" t="s">
        <v>154</v>
      </c>
      <c r="C313" t="s">
        <v>46</v>
      </c>
      <c r="D313" t="s">
        <v>462</v>
      </c>
      <c r="E313">
        <f>IF(COUNTIF(OFICIAL!$C$90:$D$97, C313) &gt; 0, 1, 0)</f>
        <v>0</v>
      </c>
    </row>
    <row r="314" spans="1:6" x14ac:dyDescent="0.25">
      <c r="A314" t="s">
        <v>77</v>
      </c>
      <c r="B314" t="s">
        <v>156</v>
      </c>
      <c r="C314" t="s">
        <v>56</v>
      </c>
      <c r="D314" t="s">
        <v>463</v>
      </c>
      <c r="E314">
        <f>IF(COUNTIF(OFICIAL!$C$90:$D$97, C314) &gt; 0, 1, 0)</f>
        <v>0</v>
      </c>
    </row>
    <row r="315" spans="1:6" x14ac:dyDescent="0.25">
      <c r="A315" t="s">
        <v>77</v>
      </c>
      <c r="B315" t="s">
        <v>158</v>
      </c>
      <c r="C315" t="s">
        <v>61</v>
      </c>
      <c r="D315" t="s">
        <v>464</v>
      </c>
      <c r="E315">
        <f>IF(COUNTIF(OFICIAL!$C$90:$D$97, C315) &gt; 0, 1, 0)</f>
        <v>0</v>
      </c>
    </row>
    <row r="316" spans="1:6" x14ac:dyDescent="0.25">
      <c r="A316" t="s">
        <v>77</v>
      </c>
      <c r="B316" t="s">
        <v>160</v>
      </c>
      <c r="C316" t="s">
        <v>33</v>
      </c>
      <c r="D316" t="s">
        <v>465</v>
      </c>
      <c r="E316">
        <f>IF(COUNTIF(OFICIAL!$C$90:$D$97, C316) &gt; 0, 1, 0)</f>
        <v>0</v>
      </c>
    </row>
    <row r="317" spans="1:6" x14ac:dyDescent="0.25">
      <c r="A317" t="s">
        <v>77</v>
      </c>
      <c r="B317" t="s">
        <v>162</v>
      </c>
      <c r="C317" t="s">
        <v>11</v>
      </c>
      <c r="D317" t="s">
        <v>466</v>
      </c>
      <c r="E317">
        <f>IF(COUNTIF(OFICIAL!$C$90:$D$97, C317) &gt; 0, 1, 0)</f>
        <v>0</v>
      </c>
    </row>
    <row r="318" spans="1:6" x14ac:dyDescent="0.25">
      <c r="A318" t="s">
        <v>77</v>
      </c>
      <c r="B318" t="s">
        <v>164</v>
      </c>
      <c r="C318" t="s">
        <v>36</v>
      </c>
      <c r="D318" t="s">
        <v>467</v>
      </c>
      <c r="E318">
        <f>IF(COUNTIF(OFICIAL!$C$90:$D$97, C318) &gt; 0, 1, 0)</f>
        <v>0</v>
      </c>
    </row>
    <row r="319" spans="1:6" x14ac:dyDescent="0.25">
      <c r="A319" t="s">
        <v>77</v>
      </c>
      <c r="B319" t="s">
        <v>166</v>
      </c>
      <c r="C319" t="s">
        <v>14</v>
      </c>
      <c r="D319" t="s">
        <v>468</v>
      </c>
      <c r="E319">
        <f>IF(COUNTIF(OFICIAL!$C$90:$D$97, C319) &gt; 0, 1, 0)</f>
        <v>0</v>
      </c>
    </row>
    <row r="320" spans="1:6" x14ac:dyDescent="0.25">
      <c r="A320" t="s">
        <v>77</v>
      </c>
      <c r="B320" t="s">
        <v>168</v>
      </c>
      <c r="C320" t="s">
        <v>48</v>
      </c>
      <c r="D320" t="s">
        <v>469</v>
      </c>
      <c r="E320">
        <f>IF(COUNTIF(OFICIAL!$C$90:$D$97, C320) &gt; 0, 1, 0)</f>
        <v>0</v>
      </c>
    </row>
    <row r="321" spans="1:6" x14ac:dyDescent="0.25">
      <c r="A321" t="s">
        <v>77</v>
      </c>
      <c r="B321" t="s">
        <v>170</v>
      </c>
      <c r="C321" t="s">
        <v>53</v>
      </c>
      <c r="D321" t="s">
        <v>470</v>
      </c>
      <c r="E321">
        <f>IF(COUNTIF(OFICIAL!$C$90:$D$97, C321) &gt; 0, 1, 0)</f>
        <v>0</v>
      </c>
    </row>
    <row r="322" spans="1:6" x14ac:dyDescent="0.25">
      <c r="A322" t="s">
        <v>77</v>
      </c>
      <c r="B322" t="s">
        <v>172</v>
      </c>
      <c r="C322" t="s">
        <v>21</v>
      </c>
      <c r="D322" t="s">
        <v>471</v>
      </c>
      <c r="E322">
        <f>IF(COUNTIF(OFICIAL!$C$90:$D$97, C322) &gt; 0, 1, 0)</f>
        <v>0</v>
      </c>
    </row>
    <row r="323" spans="1:6" x14ac:dyDescent="0.25">
      <c r="A323" t="s">
        <v>77</v>
      </c>
      <c r="B323" t="s">
        <v>174</v>
      </c>
      <c r="C323" t="s">
        <v>43</v>
      </c>
      <c r="D323" t="s">
        <v>472</v>
      </c>
      <c r="E323">
        <f>IF(COUNTIF(OFICIAL!$C$98:$D$101, C323) &gt; 0, 1, 0)</f>
        <v>0</v>
      </c>
    </row>
    <row r="324" spans="1:6" x14ac:dyDescent="0.25">
      <c r="A324" t="s">
        <v>77</v>
      </c>
      <c r="B324" t="s">
        <v>176</v>
      </c>
      <c r="C324" t="s">
        <v>27</v>
      </c>
      <c r="D324" t="s">
        <v>473</v>
      </c>
      <c r="E324">
        <f>IF(COUNTIF(OFICIAL!$C$98:$D$101, C324) &gt; 0, 1, 0)</f>
        <v>0</v>
      </c>
    </row>
    <row r="325" spans="1:6" x14ac:dyDescent="0.25">
      <c r="A325" t="s">
        <v>77</v>
      </c>
      <c r="B325" t="s">
        <v>178</v>
      </c>
      <c r="C325" t="s">
        <v>16</v>
      </c>
      <c r="D325" t="s">
        <v>474</v>
      </c>
      <c r="E325">
        <f>IF(COUNTIF(OFICIAL!$C$98:$D$101, C325) &gt; 0, 1, 0)</f>
        <v>0</v>
      </c>
    </row>
    <row r="326" spans="1:6" x14ac:dyDescent="0.25">
      <c r="A326" t="s">
        <v>77</v>
      </c>
      <c r="B326" t="s">
        <v>180</v>
      </c>
      <c r="C326" t="s">
        <v>56</v>
      </c>
      <c r="D326" t="s">
        <v>475</v>
      </c>
      <c r="E326">
        <f>IF(COUNTIF(OFICIAL!$C$98:$D$101, C326) &gt; 0, 1, 0)</f>
        <v>0</v>
      </c>
    </row>
    <row r="327" spans="1:6" x14ac:dyDescent="0.25">
      <c r="A327" t="s">
        <v>77</v>
      </c>
      <c r="B327" t="s">
        <v>182</v>
      </c>
      <c r="C327" t="s">
        <v>33</v>
      </c>
      <c r="D327" t="s">
        <v>476</v>
      </c>
      <c r="E327">
        <f>IF(COUNTIF(OFICIAL!$C$98:$D$101, C327) &gt; 0, 1, 0)</f>
        <v>0</v>
      </c>
    </row>
    <row r="328" spans="1:6" x14ac:dyDescent="0.25">
      <c r="A328" t="s">
        <v>77</v>
      </c>
      <c r="B328" t="s">
        <v>184</v>
      </c>
      <c r="C328" t="s">
        <v>36</v>
      </c>
      <c r="D328" t="s">
        <v>477</v>
      </c>
      <c r="E328">
        <f>IF(COUNTIF(OFICIAL!$C$98:$D$101, C328) &gt; 0, 1, 0)</f>
        <v>0</v>
      </c>
    </row>
    <row r="329" spans="1:6" x14ac:dyDescent="0.25">
      <c r="A329" t="s">
        <v>77</v>
      </c>
      <c r="B329" t="s">
        <v>122</v>
      </c>
      <c r="C329" t="s">
        <v>48</v>
      </c>
      <c r="D329" t="s">
        <v>446</v>
      </c>
      <c r="E329">
        <f>IF(COUNTIF(OFICIAL!$C$98:$D$101, C329) &gt; 0, 1, 0)</f>
        <v>0</v>
      </c>
    </row>
    <row r="330" spans="1:6" x14ac:dyDescent="0.25">
      <c r="A330" t="s">
        <v>77</v>
      </c>
      <c r="B330" t="s">
        <v>124</v>
      </c>
      <c r="C330" t="s">
        <v>53</v>
      </c>
      <c r="D330" t="s">
        <v>447</v>
      </c>
      <c r="E330">
        <f>IF(COUNTIF(OFICIAL!$C$98:$D$101, C330) &gt; 0, 1, 0)</f>
        <v>0</v>
      </c>
    </row>
    <row r="331" spans="1:6" x14ac:dyDescent="0.25">
      <c r="A331" t="s">
        <v>77</v>
      </c>
      <c r="B331" t="s">
        <v>126</v>
      </c>
      <c r="C331" t="s">
        <v>43</v>
      </c>
      <c r="D331" t="s">
        <v>448</v>
      </c>
      <c r="E331">
        <f>IF(COUNTIF(OFICIAL!$C$102:$D$103, C331) &gt; 0, 8, 0)</f>
        <v>0</v>
      </c>
    </row>
    <row r="332" spans="1:6" x14ac:dyDescent="0.25">
      <c r="A332" t="s">
        <v>77</v>
      </c>
      <c r="B332" t="s">
        <v>128</v>
      </c>
      <c r="C332" t="s">
        <v>16</v>
      </c>
      <c r="D332" t="s">
        <v>449</v>
      </c>
      <c r="E332">
        <f>IF(COUNTIF(OFICIAL!$C$102:$D$103, C332) &gt; 0, 8, 0)</f>
        <v>0</v>
      </c>
    </row>
    <row r="333" spans="1:6" x14ac:dyDescent="0.25">
      <c r="A333" t="s">
        <v>77</v>
      </c>
      <c r="B333" t="s">
        <v>130</v>
      </c>
      <c r="C333" t="s">
        <v>33</v>
      </c>
      <c r="D333" t="s">
        <v>450</v>
      </c>
      <c r="E333">
        <f>IF(COUNTIF(OFICIAL!$C$102:$D$103, C333) &gt; 0, 8, 0)</f>
        <v>0</v>
      </c>
    </row>
    <row r="334" spans="1:6" x14ac:dyDescent="0.25">
      <c r="A334" t="s">
        <v>77</v>
      </c>
      <c r="B334" t="s">
        <v>132</v>
      </c>
      <c r="C334" t="s">
        <v>53</v>
      </c>
      <c r="D334" t="s">
        <v>451</v>
      </c>
      <c r="E334">
        <f>IF(COUNTIF(OFICIAL!$C$102:$D$103, C334) &gt; 0, 8, 0)</f>
        <v>0</v>
      </c>
    </row>
    <row r="335" spans="1:6" x14ac:dyDescent="0.25">
      <c r="A335" t="s">
        <v>77</v>
      </c>
      <c r="B335" t="s">
        <v>134</v>
      </c>
      <c r="C335" t="s">
        <v>16</v>
      </c>
      <c r="D335" t="s">
        <v>452</v>
      </c>
      <c r="E335">
        <v>0</v>
      </c>
      <c r="F335" t="s">
        <v>887</v>
      </c>
    </row>
    <row r="336" spans="1:6" x14ac:dyDescent="0.25">
      <c r="A336" t="s">
        <v>77</v>
      </c>
      <c r="B336" t="s">
        <v>136</v>
      </c>
      <c r="C336" t="s">
        <v>53</v>
      </c>
      <c r="D336" t="s">
        <v>453</v>
      </c>
      <c r="E336">
        <v>0</v>
      </c>
      <c r="F336" t="s">
        <v>887</v>
      </c>
    </row>
    <row r="337" spans="1:6" x14ac:dyDescent="0.25">
      <c r="A337" t="s">
        <v>77</v>
      </c>
      <c r="B337" t="s">
        <v>138</v>
      </c>
      <c r="C337" t="s">
        <v>43</v>
      </c>
      <c r="D337" t="s">
        <v>454</v>
      </c>
      <c r="E337">
        <f>IF(COUNTIF(OFICIAL!$C$105:$D$105, C337) &gt; 0, 10, 0)</f>
        <v>0</v>
      </c>
    </row>
    <row r="338" spans="1:6" x14ac:dyDescent="0.25">
      <c r="A338" t="s">
        <v>77</v>
      </c>
      <c r="B338" t="s">
        <v>140</v>
      </c>
      <c r="C338" t="s">
        <v>33</v>
      </c>
      <c r="D338" t="s">
        <v>455</v>
      </c>
      <c r="E338">
        <f>IF(COUNTIF(OFICIAL!$C$105:$D$105, C338) &gt; 0, 10, 0)</f>
        <v>0</v>
      </c>
    </row>
    <row r="339" spans="1:6" x14ac:dyDescent="0.25">
      <c r="A339" t="s">
        <v>77</v>
      </c>
      <c r="B339" t="s">
        <v>186</v>
      </c>
      <c r="C339" t="s">
        <v>33</v>
      </c>
      <c r="D339" t="s">
        <v>478</v>
      </c>
      <c r="E339">
        <f>IF(C339=OFICIAL!K5, 20, 0)</f>
        <v>0</v>
      </c>
    </row>
    <row r="340" spans="1:6" x14ac:dyDescent="0.25">
      <c r="A340" t="s">
        <v>77</v>
      </c>
      <c r="B340" t="s">
        <v>188</v>
      </c>
      <c r="C340" t="s">
        <v>43</v>
      </c>
      <c r="D340" t="s">
        <v>479</v>
      </c>
      <c r="E340">
        <v>0</v>
      </c>
      <c r="F340" t="s">
        <v>887</v>
      </c>
    </row>
    <row r="341" spans="1:6" x14ac:dyDescent="0.25">
      <c r="A341" t="s">
        <v>77</v>
      </c>
      <c r="B341" t="s">
        <v>190</v>
      </c>
      <c r="C341" t="s">
        <v>53</v>
      </c>
      <c r="D341" t="s">
        <v>480</v>
      </c>
      <c r="E341">
        <f>IF(C341=OFICIAL!M5, 12, 0)</f>
        <v>0</v>
      </c>
    </row>
    <row r="342" spans="1:6" x14ac:dyDescent="0.25">
      <c r="A342" t="s">
        <v>77</v>
      </c>
      <c r="B342" t="s">
        <v>192</v>
      </c>
      <c r="C342" t="s">
        <v>16</v>
      </c>
      <c r="D342" t="s">
        <v>481</v>
      </c>
      <c r="E342">
        <v>0</v>
      </c>
      <c r="F342" t="s">
        <v>887</v>
      </c>
    </row>
    <row r="344" spans="1:6" ht="18" customHeight="1" thickBot="1" x14ac:dyDescent="0.3">
      <c r="A344" s="2" t="s">
        <v>546</v>
      </c>
      <c r="B344" s="3"/>
      <c r="C344" s="3"/>
      <c r="D344" s="3"/>
      <c r="E344" s="3"/>
      <c r="F344" s="3"/>
    </row>
    <row r="345" spans="1:6" ht="15.75" thickBot="1" x14ac:dyDescent="0.3">
      <c r="A345" t="s">
        <v>79</v>
      </c>
      <c r="B345" t="s">
        <v>142</v>
      </c>
      <c r="C345" t="s">
        <v>29</v>
      </c>
      <c r="D345" t="s">
        <v>492</v>
      </c>
      <c r="E345">
        <f>IF(COUNTIF(OFICIAL!$C$90:$D$97, C345) &gt; 0, 1, 0)</f>
        <v>0</v>
      </c>
      <c r="F345" s="7">
        <f>SUM(E345:E380)</f>
        <v>0</v>
      </c>
    </row>
    <row r="346" spans="1:6" x14ac:dyDescent="0.25">
      <c r="A346" t="s">
        <v>79</v>
      </c>
      <c r="B346" t="s">
        <v>144</v>
      </c>
      <c r="C346" t="s">
        <v>46</v>
      </c>
      <c r="D346" t="s">
        <v>493</v>
      </c>
      <c r="E346">
        <f>IF(COUNTIF(OFICIAL!$C$90:$D$97, C346) &gt; 0, 1, 0)</f>
        <v>0</v>
      </c>
    </row>
    <row r="347" spans="1:6" x14ac:dyDescent="0.25">
      <c r="A347" t="s">
        <v>79</v>
      </c>
      <c r="B347" t="s">
        <v>146</v>
      </c>
      <c r="C347" t="s">
        <v>6</v>
      </c>
      <c r="D347" t="s">
        <v>494</v>
      </c>
      <c r="E347">
        <f>IF(COUNTIF(OFICIAL!$C$90:$D$97, C347) &gt; 0, 1, 0)</f>
        <v>0</v>
      </c>
    </row>
    <row r="348" spans="1:6" x14ac:dyDescent="0.25">
      <c r="A348" t="s">
        <v>79</v>
      </c>
      <c r="B348" t="s">
        <v>148</v>
      </c>
      <c r="C348" t="s">
        <v>26</v>
      </c>
      <c r="D348" t="s">
        <v>495</v>
      </c>
      <c r="E348">
        <f>IF(COUNTIF(OFICIAL!$C$90:$D$97, C348) &gt; 0, 1, 0)</f>
        <v>0</v>
      </c>
    </row>
    <row r="349" spans="1:6" x14ac:dyDescent="0.25">
      <c r="A349" t="s">
        <v>79</v>
      </c>
      <c r="B349" t="s">
        <v>150</v>
      </c>
      <c r="C349" t="s">
        <v>16</v>
      </c>
      <c r="D349" t="s">
        <v>496</v>
      </c>
      <c r="E349">
        <f>IF(COUNTIF(OFICIAL!$C$90:$D$97, C349) &gt; 0, 1, 0)</f>
        <v>0</v>
      </c>
    </row>
    <row r="350" spans="1:6" x14ac:dyDescent="0.25">
      <c r="A350" t="s">
        <v>79</v>
      </c>
      <c r="B350" t="s">
        <v>152</v>
      </c>
      <c r="C350" t="s">
        <v>43</v>
      </c>
      <c r="D350" t="s">
        <v>497</v>
      </c>
      <c r="E350">
        <f>IF(COUNTIF(OFICIAL!$C$90:$D$97, C350) &gt; 0, 1, 0)</f>
        <v>0</v>
      </c>
    </row>
    <row r="351" spans="1:6" x14ac:dyDescent="0.25">
      <c r="A351" t="s">
        <v>79</v>
      </c>
      <c r="B351" t="s">
        <v>154</v>
      </c>
      <c r="C351" t="s">
        <v>3</v>
      </c>
      <c r="D351" t="s">
        <v>498</v>
      </c>
      <c r="E351">
        <f>IF(COUNTIF(OFICIAL!$C$90:$D$97, C351) &gt; 0, 1, 0)</f>
        <v>0</v>
      </c>
    </row>
    <row r="352" spans="1:6" x14ac:dyDescent="0.25">
      <c r="A352" t="s">
        <v>79</v>
      </c>
      <c r="B352" t="s">
        <v>156</v>
      </c>
      <c r="C352" t="s">
        <v>56</v>
      </c>
      <c r="D352" t="s">
        <v>499</v>
      </c>
      <c r="E352">
        <f>IF(COUNTIF(OFICIAL!$C$90:$D$97, C352) &gt; 0, 1, 0)</f>
        <v>0</v>
      </c>
    </row>
    <row r="353" spans="1:5" x14ac:dyDescent="0.25">
      <c r="A353" t="s">
        <v>79</v>
      </c>
      <c r="B353" t="s">
        <v>158</v>
      </c>
      <c r="C353" t="s">
        <v>61</v>
      </c>
      <c r="D353" t="s">
        <v>500</v>
      </c>
      <c r="E353">
        <f>IF(COUNTIF(OFICIAL!$C$90:$D$97, C353) &gt; 0, 1, 0)</f>
        <v>0</v>
      </c>
    </row>
    <row r="354" spans="1:5" x14ac:dyDescent="0.25">
      <c r="A354" t="s">
        <v>79</v>
      </c>
      <c r="B354" t="s">
        <v>160</v>
      </c>
      <c r="C354" t="s">
        <v>33</v>
      </c>
      <c r="D354" t="s">
        <v>501</v>
      </c>
      <c r="E354">
        <f>IF(COUNTIF(OFICIAL!$C$90:$D$97, C354) &gt; 0, 1, 0)</f>
        <v>0</v>
      </c>
    </row>
    <row r="355" spans="1:5" x14ac:dyDescent="0.25">
      <c r="A355" t="s">
        <v>79</v>
      </c>
      <c r="B355" t="s">
        <v>162</v>
      </c>
      <c r="C355" t="s">
        <v>11</v>
      </c>
      <c r="D355" t="s">
        <v>502</v>
      </c>
      <c r="E355">
        <f>IF(COUNTIF(OFICIAL!$C$90:$D$97, C355) &gt; 0, 1, 0)</f>
        <v>0</v>
      </c>
    </row>
    <row r="356" spans="1:5" x14ac:dyDescent="0.25">
      <c r="A356" t="s">
        <v>79</v>
      </c>
      <c r="B356" t="s">
        <v>164</v>
      </c>
      <c r="C356" t="s">
        <v>36</v>
      </c>
      <c r="D356" t="s">
        <v>503</v>
      </c>
      <c r="E356">
        <f>IF(COUNTIF(OFICIAL!$C$90:$D$97, C356) &gt; 0, 1, 0)</f>
        <v>0</v>
      </c>
    </row>
    <row r="357" spans="1:5" x14ac:dyDescent="0.25">
      <c r="A357" t="s">
        <v>79</v>
      </c>
      <c r="B357" t="s">
        <v>166</v>
      </c>
      <c r="C357" t="s">
        <v>14</v>
      </c>
      <c r="D357" t="s">
        <v>504</v>
      </c>
      <c r="E357">
        <f>IF(COUNTIF(OFICIAL!$C$90:$D$97, C357) &gt; 0, 1, 0)</f>
        <v>0</v>
      </c>
    </row>
    <row r="358" spans="1:5" x14ac:dyDescent="0.25">
      <c r="A358" t="s">
        <v>79</v>
      </c>
      <c r="B358" t="s">
        <v>168</v>
      </c>
      <c r="C358" t="s">
        <v>48</v>
      </c>
      <c r="D358" t="s">
        <v>505</v>
      </c>
      <c r="E358">
        <f>IF(COUNTIF(OFICIAL!$C$90:$D$97, C358) &gt; 0, 1, 0)</f>
        <v>0</v>
      </c>
    </row>
    <row r="359" spans="1:5" x14ac:dyDescent="0.25">
      <c r="A359" t="s">
        <v>79</v>
      </c>
      <c r="B359" t="s">
        <v>170</v>
      </c>
      <c r="C359" t="s">
        <v>53</v>
      </c>
      <c r="D359" t="s">
        <v>506</v>
      </c>
      <c r="E359">
        <f>IF(COUNTIF(OFICIAL!$C$90:$D$97, C359) &gt; 0, 1, 0)</f>
        <v>0</v>
      </c>
    </row>
    <row r="360" spans="1:5" x14ac:dyDescent="0.25">
      <c r="A360" t="s">
        <v>79</v>
      </c>
      <c r="B360" t="s">
        <v>172</v>
      </c>
      <c r="C360" t="s">
        <v>21</v>
      </c>
      <c r="D360" t="s">
        <v>507</v>
      </c>
      <c r="E360">
        <f>IF(COUNTIF(OFICIAL!$C$90:$D$97, C360) &gt; 0, 1, 0)</f>
        <v>0</v>
      </c>
    </row>
    <row r="361" spans="1:5" x14ac:dyDescent="0.25">
      <c r="A361" t="s">
        <v>79</v>
      </c>
      <c r="B361" t="s">
        <v>174</v>
      </c>
      <c r="C361" t="s">
        <v>46</v>
      </c>
      <c r="D361" t="s">
        <v>508</v>
      </c>
      <c r="E361">
        <f>IF(COUNTIF(OFICIAL!$C$98:$D$101, C361) &gt; 0, 1, 0)</f>
        <v>0</v>
      </c>
    </row>
    <row r="362" spans="1:5" x14ac:dyDescent="0.25">
      <c r="A362" t="s">
        <v>79</v>
      </c>
      <c r="B362" t="s">
        <v>176</v>
      </c>
      <c r="C362" t="s">
        <v>26</v>
      </c>
      <c r="D362" t="s">
        <v>509</v>
      </c>
      <c r="E362">
        <f>IF(COUNTIF(OFICIAL!$C$98:$D$101, C362) &gt; 0, 1, 0)</f>
        <v>0</v>
      </c>
    </row>
    <row r="363" spans="1:5" x14ac:dyDescent="0.25">
      <c r="A363" t="s">
        <v>79</v>
      </c>
      <c r="B363" t="s">
        <v>178</v>
      </c>
      <c r="C363" t="s">
        <v>16</v>
      </c>
      <c r="D363" t="s">
        <v>510</v>
      </c>
      <c r="E363">
        <f>IF(COUNTIF(OFICIAL!$C$98:$D$101, C363) &gt; 0, 1, 0)</f>
        <v>0</v>
      </c>
    </row>
    <row r="364" spans="1:5" x14ac:dyDescent="0.25">
      <c r="A364" t="s">
        <v>79</v>
      </c>
      <c r="B364" t="s">
        <v>180</v>
      </c>
      <c r="C364" t="s">
        <v>56</v>
      </c>
      <c r="D364" t="s">
        <v>511</v>
      </c>
      <c r="E364">
        <f>IF(COUNTIF(OFICIAL!$C$98:$D$101, C364) &gt; 0, 1, 0)</f>
        <v>0</v>
      </c>
    </row>
    <row r="365" spans="1:5" x14ac:dyDescent="0.25">
      <c r="A365" t="s">
        <v>79</v>
      </c>
      <c r="B365" t="s">
        <v>182</v>
      </c>
      <c r="C365" t="s">
        <v>33</v>
      </c>
      <c r="D365" t="s">
        <v>512</v>
      </c>
      <c r="E365">
        <f>IF(COUNTIF(OFICIAL!$C$98:$D$101, C365) &gt; 0, 1, 0)</f>
        <v>0</v>
      </c>
    </row>
    <row r="366" spans="1:5" x14ac:dyDescent="0.25">
      <c r="A366" t="s">
        <v>79</v>
      </c>
      <c r="B366" t="s">
        <v>184</v>
      </c>
      <c r="C366" t="s">
        <v>36</v>
      </c>
      <c r="D366" t="s">
        <v>513</v>
      </c>
      <c r="E366">
        <f>IF(COUNTIF(OFICIAL!$C$98:$D$101, C366) &gt; 0, 1, 0)</f>
        <v>0</v>
      </c>
    </row>
    <row r="367" spans="1:5" x14ac:dyDescent="0.25">
      <c r="A367" t="s">
        <v>79</v>
      </c>
      <c r="B367" t="s">
        <v>122</v>
      </c>
      <c r="C367" t="s">
        <v>48</v>
      </c>
      <c r="D367" t="s">
        <v>482</v>
      </c>
      <c r="E367">
        <f>IF(COUNTIF(OFICIAL!$C$98:$D$101, C367) &gt; 0, 1, 0)</f>
        <v>0</v>
      </c>
    </row>
    <row r="368" spans="1:5" x14ac:dyDescent="0.25">
      <c r="A368" t="s">
        <v>79</v>
      </c>
      <c r="B368" t="s">
        <v>124</v>
      </c>
      <c r="C368" t="s">
        <v>53</v>
      </c>
      <c r="D368" t="s">
        <v>483</v>
      </c>
      <c r="E368">
        <f>IF(COUNTIF(OFICIAL!$C$98:$D$101, C368) &gt; 0, 1, 0)</f>
        <v>0</v>
      </c>
    </row>
    <row r="369" spans="1:6" x14ac:dyDescent="0.25">
      <c r="A369" t="s">
        <v>79</v>
      </c>
      <c r="B369" t="s">
        <v>126</v>
      </c>
      <c r="C369" t="s">
        <v>26</v>
      </c>
      <c r="D369" t="s">
        <v>484</v>
      </c>
      <c r="E369">
        <f>IF(COUNTIF(OFICIAL!$C$102:$D$103, C369) &gt; 0, 8, 0)</f>
        <v>0</v>
      </c>
    </row>
    <row r="370" spans="1:6" x14ac:dyDescent="0.25">
      <c r="A370" t="s">
        <v>79</v>
      </c>
      <c r="B370" t="s">
        <v>128</v>
      </c>
      <c r="C370" t="s">
        <v>56</v>
      </c>
      <c r="D370" t="s">
        <v>485</v>
      </c>
      <c r="E370">
        <f>IF(COUNTIF(OFICIAL!$C$102:$D$103, C370) &gt; 0, 8, 0)</f>
        <v>0</v>
      </c>
    </row>
    <row r="371" spans="1:6" x14ac:dyDescent="0.25">
      <c r="A371" t="s">
        <v>79</v>
      </c>
      <c r="B371" t="s">
        <v>130</v>
      </c>
      <c r="C371" t="s">
        <v>33</v>
      </c>
      <c r="D371" t="s">
        <v>486</v>
      </c>
      <c r="E371">
        <f>IF(COUNTIF(OFICIAL!$C$102:$D$103, C371) &gt; 0, 8, 0)</f>
        <v>0</v>
      </c>
    </row>
    <row r="372" spans="1:6" x14ac:dyDescent="0.25">
      <c r="A372" t="s">
        <v>79</v>
      </c>
      <c r="B372" t="s">
        <v>132</v>
      </c>
      <c r="C372" t="s">
        <v>53</v>
      </c>
      <c r="D372" t="s">
        <v>487</v>
      </c>
      <c r="E372">
        <f>IF(COUNTIF(OFICIAL!$C$102:$D$103, C372) &gt; 0, 8, 0)</f>
        <v>0</v>
      </c>
    </row>
    <row r="373" spans="1:6" x14ac:dyDescent="0.25">
      <c r="A373" t="s">
        <v>79</v>
      </c>
      <c r="B373" t="s">
        <v>134</v>
      </c>
      <c r="C373" t="s">
        <v>56</v>
      </c>
      <c r="D373" t="s">
        <v>488</v>
      </c>
      <c r="E373">
        <v>0</v>
      </c>
      <c r="F373" t="s">
        <v>887</v>
      </c>
    </row>
    <row r="374" spans="1:6" x14ac:dyDescent="0.25">
      <c r="A374" t="s">
        <v>79</v>
      </c>
      <c r="B374" t="s">
        <v>136</v>
      </c>
      <c r="C374" t="s">
        <v>53</v>
      </c>
      <c r="D374" t="s">
        <v>489</v>
      </c>
      <c r="E374">
        <v>0</v>
      </c>
      <c r="F374" t="s">
        <v>887</v>
      </c>
    </row>
    <row r="375" spans="1:6" x14ac:dyDescent="0.25">
      <c r="A375" t="s">
        <v>79</v>
      </c>
      <c r="B375" t="s">
        <v>138</v>
      </c>
      <c r="C375" t="s">
        <v>26</v>
      </c>
      <c r="D375" t="s">
        <v>490</v>
      </c>
      <c r="E375">
        <f>IF(COUNTIF(OFICIAL!$C$105:$D$105, C375) &gt; 0, 10, 0)</f>
        <v>0</v>
      </c>
    </row>
    <row r="376" spans="1:6" x14ac:dyDescent="0.25">
      <c r="A376" t="s">
        <v>79</v>
      </c>
      <c r="B376" t="s">
        <v>140</v>
      </c>
      <c r="C376" t="s">
        <v>33</v>
      </c>
      <c r="D376" t="s">
        <v>491</v>
      </c>
      <c r="E376">
        <f>IF(COUNTIF(OFICIAL!$C$105:$D$105, C376) &gt; 0, 10, 0)</f>
        <v>0</v>
      </c>
    </row>
    <row r="377" spans="1:6" x14ac:dyDescent="0.25">
      <c r="A377" t="s">
        <v>79</v>
      </c>
      <c r="B377" t="s">
        <v>186</v>
      </c>
      <c r="C377" t="s">
        <v>33</v>
      </c>
      <c r="D377" t="s">
        <v>514</v>
      </c>
      <c r="E377">
        <f>IF(C377=OFICIAL!K5, 20, 0)</f>
        <v>0</v>
      </c>
    </row>
    <row r="378" spans="1:6" x14ac:dyDescent="0.25">
      <c r="A378" t="s">
        <v>79</v>
      </c>
      <c r="B378" t="s">
        <v>188</v>
      </c>
      <c r="C378" t="s">
        <v>26</v>
      </c>
      <c r="D378" t="s">
        <v>515</v>
      </c>
      <c r="E378">
        <v>0</v>
      </c>
      <c r="F378" t="s">
        <v>887</v>
      </c>
    </row>
    <row r="379" spans="1:6" x14ac:dyDescent="0.25">
      <c r="A379" t="s">
        <v>79</v>
      </c>
      <c r="B379" t="s">
        <v>190</v>
      </c>
      <c r="C379" t="s">
        <v>53</v>
      </c>
      <c r="D379" t="s">
        <v>516</v>
      </c>
      <c r="E379">
        <f>IF(C379=OFICIAL!M5, 12, 0)</f>
        <v>0</v>
      </c>
    </row>
    <row r="380" spans="1:6" x14ac:dyDescent="0.25">
      <c r="A380" t="s">
        <v>79</v>
      </c>
      <c r="B380" t="s">
        <v>192</v>
      </c>
      <c r="C380" t="s">
        <v>56</v>
      </c>
      <c r="D380" t="s">
        <v>517</v>
      </c>
      <c r="E380">
        <v>0</v>
      </c>
      <c r="F380" t="s">
        <v>887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F500F-B3AF-4332-9785-6820C970A9ED}">
  <dimension ref="A1:O105"/>
  <sheetViews>
    <sheetView topLeftCell="A31" workbookViewId="0">
      <selection activeCell="C50" sqref="C50"/>
    </sheetView>
  </sheetViews>
  <sheetFormatPr baseColWidth="10" defaultRowHeight="15" x14ac:dyDescent="0.25"/>
  <cols>
    <col min="1" max="1" width="37.7109375" customWidth="1"/>
    <col min="2" max="2" width="15.7109375" customWidth="1"/>
    <col min="3" max="4" width="22.7109375" customWidth="1"/>
    <col min="5" max="5" width="21.7109375" customWidth="1"/>
    <col min="11" max="15" width="20.7109375" customWidth="1"/>
  </cols>
  <sheetData>
    <row r="1" spans="1:15" x14ac:dyDescent="0.25">
      <c r="A1" s="1" t="s">
        <v>547</v>
      </c>
      <c r="B1" s="1" t="s">
        <v>518</v>
      </c>
      <c r="C1" s="1" t="s">
        <v>548</v>
      </c>
      <c r="D1" s="1" t="s">
        <v>549</v>
      </c>
      <c r="E1" s="1" t="s">
        <v>550</v>
      </c>
      <c r="F1" s="1" t="s">
        <v>551</v>
      </c>
      <c r="G1" s="1" t="s">
        <v>552</v>
      </c>
      <c r="H1" s="1" t="s">
        <v>553</v>
      </c>
      <c r="I1" s="10"/>
      <c r="J1" s="11" t="s">
        <v>885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</row>
    <row r="2" spans="1:15" x14ac:dyDescent="0.25">
      <c r="A2" t="s">
        <v>554</v>
      </c>
      <c r="B2" t="s">
        <v>2</v>
      </c>
      <c r="C2" t="s">
        <v>3</v>
      </c>
      <c r="D2" t="s">
        <v>4</v>
      </c>
      <c r="E2" t="s">
        <v>555</v>
      </c>
      <c r="F2">
        <v>2</v>
      </c>
      <c r="G2">
        <v>0</v>
      </c>
      <c r="H2" t="s">
        <v>556</v>
      </c>
      <c r="J2" s="11"/>
    </row>
    <row r="3" spans="1:15" x14ac:dyDescent="0.25">
      <c r="A3" t="s">
        <v>557</v>
      </c>
      <c r="B3" t="s">
        <v>2</v>
      </c>
      <c r="C3" t="s">
        <v>5</v>
      </c>
      <c r="D3" t="s">
        <v>6</v>
      </c>
      <c r="E3" t="s">
        <v>558</v>
      </c>
      <c r="F3">
        <v>2</v>
      </c>
      <c r="G3">
        <v>1</v>
      </c>
      <c r="H3" t="s">
        <v>556</v>
      </c>
    </row>
    <row r="4" spans="1:15" x14ac:dyDescent="0.25">
      <c r="A4" t="s">
        <v>559</v>
      </c>
      <c r="B4" t="s">
        <v>7</v>
      </c>
      <c r="C4" t="s">
        <v>8</v>
      </c>
      <c r="D4" t="s">
        <v>9</v>
      </c>
      <c r="E4" t="s">
        <v>560</v>
      </c>
      <c r="F4">
        <v>1</v>
      </c>
      <c r="G4">
        <v>1</v>
      </c>
      <c r="H4" t="s">
        <v>556</v>
      </c>
      <c r="J4" s="11" t="s">
        <v>888</v>
      </c>
      <c r="K4" s="11" t="s">
        <v>889</v>
      </c>
      <c r="L4" s="11" t="s">
        <v>890</v>
      </c>
      <c r="M4" s="11" t="s">
        <v>891</v>
      </c>
      <c r="N4" s="11" t="s">
        <v>892</v>
      </c>
    </row>
    <row r="5" spans="1:15" x14ac:dyDescent="0.25">
      <c r="A5" t="s">
        <v>561</v>
      </c>
      <c r="B5" t="s">
        <v>10</v>
      </c>
      <c r="C5" t="s">
        <v>11</v>
      </c>
      <c r="D5" t="s">
        <v>12</v>
      </c>
      <c r="E5" t="s">
        <v>562</v>
      </c>
      <c r="F5">
        <v>4</v>
      </c>
      <c r="G5">
        <v>1</v>
      </c>
      <c r="H5" t="s">
        <v>556</v>
      </c>
      <c r="J5" s="12"/>
    </row>
    <row r="6" spans="1:15" x14ac:dyDescent="0.25">
      <c r="A6" t="s">
        <v>563</v>
      </c>
      <c r="B6" t="s">
        <v>7</v>
      </c>
      <c r="C6" t="s">
        <v>13</v>
      </c>
      <c r="D6" t="s">
        <v>14</v>
      </c>
      <c r="E6" t="s">
        <v>564</v>
      </c>
      <c r="F6">
        <v>1</v>
      </c>
      <c r="G6">
        <v>1</v>
      </c>
      <c r="H6" t="s">
        <v>556</v>
      </c>
    </row>
    <row r="7" spans="1:15" x14ac:dyDescent="0.25">
      <c r="A7" t="s">
        <v>565</v>
      </c>
      <c r="B7" t="s">
        <v>15</v>
      </c>
      <c r="C7" t="s">
        <v>16</v>
      </c>
      <c r="D7" t="s">
        <v>17</v>
      </c>
      <c r="E7" t="s">
        <v>566</v>
      </c>
      <c r="F7">
        <v>1</v>
      </c>
      <c r="G7">
        <v>1</v>
      </c>
      <c r="H7" t="s">
        <v>556</v>
      </c>
    </row>
    <row r="8" spans="1:15" x14ac:dyDescent="0.25">
      <c r="A8" t="s">
        <v>567</v>
      </c>
      <c r="B8" t="s">
        <v>15</v>
      </c>
      <c r="C8" t="s">
        <v>18</v>
      </c>
      <c r="D8" t="s">
        <v>19</v>
      </c>
      <c r="E8" t="s">
        <v>568</v>
      </c>
      <c r="F8">
        <v>0</v>
      </c>
      <c r="G8">
        <v>1</v>
      </c>
      <c r="H8" t="s">
        <v>556</v>
      </c>
    </row>
    <row r="9" spans="1:15" x14ac:dyDescent="0.25">
      <c r="A9" t="s">
        <v>569</v>
      </c>
      <c r="B9" t="s">
        <v>10</v>
      </c>
      <c r="C9" t="s">
        <v>20</v>
      </c>
      <c r="D9" t="s">
        <v>21</v>
      </c>
      <c r="E9" t="s">
        <v>570</v>
      </c>
      <c r="F9">
        <v>2</v>
      </c>
      <c r="G9">
        <v>0</v>
      </c>
      <c r="H9" t="s">
        <v>556</v>
      </c>
    </row>
    <row r="10" spans="1:15" x14ac:dyDescent="0.25">
      <c r="A10" t="s">
        <v>571</v>
      </c>
      <c r="B10" t="s">
        <v>22</v>
      </c>
      <c r="C10" t="s">
        <v>23</v>
      </c>
      <c r="D10" t="s">
        <v>24</v>
      </c>
      <c r="E10" t="s">
        <v>572</v>
      </c>
      <c r="F10">
        <v>7</v>
      </c>
      <c r="G10">
        <v>1</v>
      </c>
      <c r="H10" t="s">
        <v>556</v>
      </c>
    </row>
    <row r="11" spans="1:15" x14ac:dyDescent="0.25">
      <c r="A11" t="s">
        <v>573</v>
      </c>
      <c r="B11" t="s">
        <v>25</v>
      </c>
      <c r="C11" t="s">
        <v>26</v>
      </c>
      <c r="D11" t="s">
        <v>27</v>
      </c>
      <c r="E11" t="s">
        <v>574</v>
      </c>
      <c r="F11">
        <v>2</v>
      </c>
      <c r="G11">
        <v>2</v>
      </c>
      <c r="H11" t="s">
        <v>556</v>
      </c>
    </row>
    <row r="12" spans="1:15" x14ac:dyDescent="0.25">
      <c r="A12" t="s">
        <v>575</v>
      </c>
      <c r="B12" t="s">
        <v>22</v>
      </c>
      <c r="C12" t="s">
        <v>28</v>
      </c>
      <c r="D12" t="s">
        <v>29</v>
      </c>
      <c r="E12" t="s">
        <v>576</v>
      </c>
      <c r="F12">
        <v>1</v>
      </c>
      <c r="G12">
        <v>0</v>
      </c>
      <c r="H12" t="s">
        <v>556</v>
      </c>
    </row>
    <row r="13" spans="1:15" x14ac:dyDescent="0.25">
      <c r="A13" t="s">
        <v>577</v>
      </c>
      <c r="B13" t="s">
        <v>25</v>
      </c>
      <c r="C13" t="s">
        <v>30</v>
      </c>
      <c r="D13" t="s">
        <v>31</v>
      </c>
      <c r="E13" t="s">
        <v>578</v>
      </c>
      <c r="F13">
        <v>5</v>
      </c>
      <c r="G13">
        <v>1</v>
      </c>
      <c r="H13" t="s">
        <v>556</v>
      </c>
    </row>
    <row r="14" spans="1:15" x14ac:dyDescent="0.25">
      <c r="A14" t="s">
        <v>579</v>
      </c>
      <c r="B14" t="s">
        <v>32</v>
      </c>
      <c r="C14" t="s">
        <v>33</v>
      </c>
      <c r="D14" t="s">
        <v>34</v>
      </c>
      <c r="E14" t="s">
        <v>580</v>
      </c>
      <c r="F14">
        <v>0</v>
      </c>
      <c r="G14">
        <v>0</v>
      </c>
      <c r="H14" t="s">
        <v>556</v>
      </c>
    </row>
    <row r="15" spans="1:15" x14ac:dyDescent="0.25">
      <c r="A15" t="s">
        <v>581</v>
      </c>
      <c r="B15" t="s">
        <v>35</v>
      </c>
      <c r="C15" t="s">
        <v>36</v>
      </c>
      <c r="D15" t="s">
        <v>37</v>
      </c>
      <c r="E15" t="s">
        <v>582</v>
      </c>
      <c r="F15">
        <v>1</v>
      </c>
      <c r="G15">
        <v>1</v>
      </c>
      <c r="H15" t="s">
        <v>556</v>
      </c>
    </row>
    <row r="16" spans="1:15" x14ac:dyDescent="0.25">
      <c r="A16" t="s">
        <v>583</v>
      </c>
      <c r="B16" t="s">
        <v>32</v>
      </c>
      <c r="C16" t="s">
        <v>38</v>
      </c>
      <c r="D16" t="s">
        <v>39</v>
      </c>
      <c r="E16" t="s">
        <v>584</v>
      </c>
      <c r="F16">
        <v>1</v>
      </c>
      <c r="G16">
        <v>1</v>
      </c>
      <c r="H16" t="s">
        <v>556</v>
      </c>
    </row>
    <row r="17" spans="1:8" x14ac:dyDescent="0.25">
      <c r="A17" t="s">
        <v>585</v>
      </c>
      <c r="B17" t="s">
        <v>35</v>
      </c>
      <c r="C17" t="s">
        <v>40</v>
      </c>
      <c r="D17" t="s">
        <v>41</v>
      </c>
      <c r="E17" t="s">
        <v>586</v>
      </c>
      <c r="F17">
        <v>2</v>
      </c>
      <c r="G17">
        <v>2</v>
      </c>
      <c r="H17" t="s">
        <v>556</v>
      </c>
    </row>
    <row r="18" spans="1:8" x14ac:dyDescent="0.25">
      <c r="A18" t="s">
        <v>587</v>
      </c>
      <c r="B18" t="s">
        <v>42</v>
      </c>
      <c r="C18" t="s">
        <v>43</v>
      </c>
      <c r="D18" t="s">
        <v>44</v>
      </c>
      <c r="E18" t="s">
        <v>588</v>
      </c>
      <c r="F18">
        <v>3</v>
      </c>
      <c r="G18">
        <v>1</v>
      </c>
      <c r="H18" t="s">
        <v>556</v>
      </c>
    </row>
    <row r="19" spans="1:8" x14ac:dyDescent="0.25">
      <c r="A19" t="s">
        <v>589</v>
      </c>
      <c r="B19" t="s">
        <v>42</v>
      </c>
      <c r="C19" t="s">
        <v>45</v>
      </c>
      <c r="D19" t="s">
        <v>46</v>
      </c>
      <c r="E19" t="s">
        <v>590</v>
      </c>
      <c r="F19">
        <v>1</v>
      </c>
      <c r="G19">
        <v>4</v>
      </c>
      <c r="H19" t="s">
        <v>556</v>
      </c>
    </row>
    <row r="20" spans="1:8" x14ac:dyDescent="0.25">
      <c r="A20" t="s">
        <v>591</v>
      </c>
      <c r="B20" t="s">
        <v>47</v>
      </c>
      <c r="C20" t="s">
        <v>48</v>
      </c>
      <c r="D20" t="s">
        <v>49</v>
      </c>
      <c r="E20" t="s">
        <v>592</v>
      </c>
      <c r="F20">
        <v>3</v>
      </c>
      <c r="G20">
        <v>0</v>
      </c>
      <c r="H20" t="s">
        <v>556</v>
      </c>
    </row>
    <row r="21" spans="1:8" x14ac:dyDescent="0.25">
      <c r="A21" t="s">
        <v>593</v>
      </c>
      <c r="B21" t="s">
        <v>47</v>
      </c>
      <c r="C21" t="s">
        <v>50</v>
      </c>
      <c r="D21" t="s">
        <v>51</v>
      </c>
      <c r="E21" t="s">
        <v>594</v>
      </c>
      <c r="F21">
        <v>3</v>
      </c>
      <c r="G21">
        <v>1</v>
      </c>
      <c r="H21" t="s">
        <v>556</v>
      </c>
    </row>
    <row r="22" spans="1:8" x14ac:dyDescent="0.25">
      <c r="A22" t="s">
        <v>595</v>
      </c>
      <c r="B22" t="s">
        <v>52</v>
      </c>
      <c r="C22" t="s">
        <v>53</v>
      </c>
      <c r="D22" t="s">
        <v>54</v>
      </c>
      <c r="E22" t="s">
        <v>596</v>
      </c>
      <c r="F22">
        <v>1</v>
      </c>
      <c r="G22">
        <v>1</v>
      </c>
      <c r="H22" t="s">
        <v>556</v>
      </c>
    </row>
    <row r="23" spans="1:8" x14ac:dyDescent="0.25">
      <c r="A23" t="s">
        <v>597</v>
      </c>
      <c r="B23" t="s">
        <v>55</v>
      </c>
      <c r="C23" t="s">
        <v>56</v>
      </c>
      <c r="D23" t="s">
        <v>57</v>
      </c>
      <c r="E23" t="s">
        <v>598</v>
      </c>
      <c r="F23">
        <v>4</v>
      </c>
      <c r="G23">
        <v>2</v>
      </c>
      <c r="H23" t="s">
        <v>556</v>
      </c>
    </row>
    <row r="24" spans="1:8" x14ac:dyDescent="0.25">
      <c r="A24" t="s">
        <v>599</v>
      </c>
      <c r="B24" t="s">
        <v>55</v>
      </c>
      <c r="C24" t="s">
        <v>58</v>
      </c>
      <c r="D24" t="s">
        <v>59</v>
      </c>
      <c r="E24" t="s">
        <v>600</v>
      </c>
      <c r="F24">
        <v>1</v>
      </c>
      <c r="G24">
        <v>0</v>
      </c>
      <c r="H24" t="s">
        <v>556</v>
      </c>
    </row>
    <row r="25" spans="1:8" x14ac:dyDescent="0.25">
      <c r="A25" t="s">
        <v>601</v>
      </c>
      <c r="B25" t="s">
        <v>52</v>
      </c>
      <c r="C25" t="s">
        <v>60</v>
      </c>
      <c r="D25" t="s">
        <v>61</v>
      </c>
      <c r="E25" t="s">
        <v>602</v>
      </c>
      <c r="F25">
        <v>1</v>
      </c>
      <c r="G25">
        <v>3</v>
      </c>
      <c r="H25" t="s">
        <v>556</v>
      </c>
    </row>
    <row r="26" spans="1:8" x14ac:dyDescent="0.25">
      <c r="A26" t="s">
        <v>603</v>
      </c>
      <c r="B26" t="s">
        <v>2</v>
      </c>
      <c r="C26" t="s">
        <v>4</v>
      </c>
      <c r="D26" t="s">
        <v>6</v>
      </c>
      <c r="E26" t="s">
        <v>604</v>
      </c>
      <c r="F26">
        <v>1</v>
      </c>
      <c r="G26">
        <v>1</v>
      </c>
      <c r="H26" t="s">
        <v>556</v>
      </c>
    </row>
    <row r="27" spans="1:8" x14ac:dyDescent="0.25">
      <c r="A27" t="s">
        <v>605</v>
      </c>
      <c r="B27" t="s">
        <v>7</v>
      </c>
      <c r="C27" t="s">
        <v>9</v>
      </c>
      <c r="D27" t="s">
        <v>14</v>
      </c>
      <c r="E27" t="s">
        <v>606</v>
      </c>
      <c r="F27">
        <v>1</v>
      </c>
      <c r="G27">
        <v>4</v>
      </c>
      <c r="H27" t="s">
        <v>556</v>
      </c>
    </row>
    <row r="28" spans="1:8" x14ac:dyDescent="0.25">
      <c r="A28" t="s">
        <v>607</v>
      </c>
      <c r="B28" t="s">
        <v>7</v>
      </c>
      <c r="C28" t="s">
        <v>8</v>
      </c>
      <c r="D28" t="s">
        <v>13</v>
      </c>
      <c r="E28" t="s">
        <v>608</v>
      </c>
      <c r="F28">
        <v>6</v>
      </c>
      <c r="G28">
        <v>0</v>
      </c>
      <c r="H28" t="s">
        <v>556</v>
      </c>
    </row>
    <row r="29" spans="1:8" x14ac:dyDescent="0.25">
      <c r="A29" t="s">
        <v>609</v>
      </c>
      <c r="B29" t="s">
        <v>2</v>
      </c>
      <c r="C29" t="s">
        <v>3</v>
      </c>
      <c r="D29" t="s">
        <v>5</v>
      </c>
      <c r="E29" t="s">
        <v>610</v>
      </c>
      <c r="F29">
        <v>1</v>
      </c>
      <c r="G29">
        <v>0</v>
      </c>
      <c r="H29" t="s">
        <v>556</v>
      </c>
    </row>
    <row r="30" spans="1:8" x14ac:dyDescent="0.25">
      <c r="A30" t="s">
        <v>611</v>
      </c>
      <c r="B30" t="s">
        <v>10</v>
      </c>
      <c r="C30" t="s">
        <v>11</v>
      </c>
      <c r="D30" t="s">
        <v>20</v>
      </c>
      <c r="E30" t="s">
        <v>612</v>
      </c>
      <c r="F30">
        <v>2</v>
      </c>
      <c r="G30">
        <v>0</v>
      </c>
      <c r="H30" t="s">
        <v>556</v>
      </c>
    </row>
    <row r="31" spans="1:8" x14ac:dyDescent="0.25">
      <c r="A31" t="s">
        <v>613</v>
      </c>
      <c r="B31" t="s">
        <v>15</v>
      </c>
      <c r="C31" t="s">
        <v>17</v>
      </c>
      <c r="D31" t="s">
        <v>19</v>
      </c>
      <c r="E31" t="s">
        <v>614</v>
      </c>
      <c r="F31">
        <v>1</v>
      </c>
      <c r="G31">
        <v>0</v>
      </c>
      <c r="H31" t="s">
        <v>556</v>
      </c>
    </row>
    <row r="32" spans="1:8" x14ac:dyDescent="0.25">
      <c r="A32" t="s">
        <v>615</v>
      </c>
      <c r="B32" t="s">
        <v>15</v>
      </c>
      <c r="C32" t="s">
        <v>16</v>
      </c>
      <c r="D32" t="s">
        <v>18</v>
      </c>
      <c r="E32" t="s">
        <v>616</v>
      </c>
      <c r="F32">
        <v>3</v>
      </c>
      <c r="G32">
        <v>0</v>
      </c>
      <c r="H32" t="s">
        <v>556</v>
      </c>
    </row>
    <row r="33" spans="1:8" x14ac:dyDescent="0.25">
      <c r="A33" t="s">
        <v>617</v>
      </c>
      <c r="B33" t="s">
        <v>10</v>
      </c>
      <c r="C33" t="s">
        <v>12</v>
      </c>
      <c r="D33" t="s">
        <v>21</v>
      </c>
      <c r="E33" t="s">
        <v>618</v>
      </c>
      <c r="F33">
        <v>1</v>
      </c>
      <c r="G33">
        <v>0</v>
      </c>
      <c r="H33" t="s">
        <v>556</v>
      </c>
    </row>
    <row r="34" spans="1:8" x14ac:dyDescent="0.25">
      <c r="A34" t="s">
        <v>619</v>
      </c>
      <c r="B34" t="s">
        <v>25</v>
      </c>
      <c r="C34" t="s">
        <v>26</v>
      </c>
      <c r="D34" t="s">
        <v>30</v>
      </c>
      <c r="E34" t="s">
        <v>620</v>
      </c>
      <c r="F34">
        <v>5</v>
      </c>
      <c r="G34">
        <v>1</v>
      </c>
      <c r="H34" t="s">
        <v>622</v>
      </c>
    </row>
    <row r="35" spans="1:8" x14ac:dyDescent="0.25">
      <c r="A35" t="s">
        <v>623</v>
      </c>
      <c r="B35" t="s">
        <v>22</v>
      </c>
      <c r="C35" t="s">
        <v>23</v>
      </c>
      <c r="D35" t="s">
        <v>28</v>
      </c>
      <c r="E35" t="s">
        <v>624</v>
      </c>
      <c r="F35">
        <v>2</v>
      </c>
      <c r="G35">
        <v>1</v>
      </c>
      <c r="H35" t="s">
        <v>622</v>
      </c>
    </row>
    <row r="36" spans="1:8" x14ac:dyDescent="0.25">
      <c r="A36" t="s">
        <v>625</v>
      </c>
      <c r="B36" t="s">
        <v>22</v>
      </c>
      <c r="C36" t="s">
        <v>24</v>
      </c>
      <c r="D36" t="s">
        <v>29</v>
      </c>
      <c r="E36" t="s">
        <v>626</v>
      </c>
      <c r="F36">
        <v>0</v>
      </c>
      <c r="G36">
        <v>0</v>
      </c>
      <c r="H36" t="s">
        <v>622</v>
      </c>
    </row>
    <row r="37" spans="1:8" x14ac:dyDescent="0.25">
      <c r="A37" t="s">
        <v>627</v>
      </c>
      <c r="B37" t="s">
        <v>25</v>
      </c>
      <c r="C37" t="s">
        <v>27</v>
      </c>
      <c r="D37" t="s">
        <v>31</v>
      </c>
      <c r="E37" t="s">
        <v>628</v>
      </c>
      <c r="F37">
        <v>4</v>
      </c>
      <c r="G37">
        <v>0</v>
      </c>
      <c r="H37" t="s">
        <v>622</v>
      </c>
    </row>
    <row r="38" spans="1:8" x14ac:dyDescent="0.25">
      <c r="A38" t="s">
        <v>629</v>
      </c>
      <c r="B38" t="s">
        <v>32</v>
      </c>
      <c r="C38" t="s">
        <v>33</v>
      </c>
      <c r="D38" t="s">
        <v>38</v>
      </c>
      <c r="E38" t="s">
        <v>630</v>
      </c>
      <c r="F38">
        <v>4</v>
      </c>
      <c r="G38">
        <v>0</v>
      </c>
      <c r="H38" t="s">
        <v>622</v>
      </c>
    </row>
    <row r="39" spans="1:8" x14ac:dyDescent="0.25">
      <c r="A39" t="s">
        <v>631</v>
      </c>
      <c r="B39" t="s">
        <v>35</v>
      </c>
      <c r="C39" t="s">
        <v>36</v>
      </c>
      <c r="D39" t="s">
        <v>40</v>
      </c>
      <c r="E39" t="s">
        <v>632</v>
      </c>
      <c r="F39">
        <v>0</v>
      </c>
      <c r="G39">
        <v>0</v>
      </c>
      <c r="H39" t="s">
        <v>622</v>
      </c>
    </row>
    <row r="40" spans="1:8" x14ac:dyDescent="0.25">
      <c r="A40" s="4" t="s">
        <v>633</v>
      </c>
      <c r="B40" t="s">
        <v>32</v>
      </c>
      <c r="C40" t="s">
        <v>34</v>
      </c>
      <c r="D40" t="s">
        <v>39</v>
      </c>
      <c r="E40" t="s">
        <v>634</v>
      </c>
      <c r="F40">
        <v>2</v>
      </c>
      <c r="G40">
        <v>2</v>
      </c>
      <c r="H40" t="s">
        <v>622</v>
      </c>
    </row>
    <row r="41" spans="1:8" x14ac:dyDescent="0.25">
      <c r="A41" t="s">
        <v>635</v>
      </c>
      <c r="B41" t="s">
        <v>35</v>
      </c>
      <c r="C41" t="s">
        <v>37</v>
      </c>
      <c r="D41" t="s">
        <v>41</v>
      </c>
      <c r="E41" t="s">
        <v>636</v>
      </c>
      <c r="F41">
        <v>3</v>
      </c>
      <c r="G41">
        <v>1</v>
      </c>
      <c r="H41" t="s">
        <v>622</v>
      </c>
    </row>
    <row r="42" spans="1:8" x14ac:dyDescent="0.25">
      <c r="A42" s="4" t="s">
        <v>637</v>
      </c>
      <c r="B42" t="s">
        <v>47</v>
      </c>
      <c r="C42" t="s">
        <v>48</v>
      </c>
      <c r="D42" t="s">
        <v>50</v>
      </c>
      <c r="E42" t="s">
        <v>638</v>
      </c>
      <c r="F42">
        <v>2</v>
      </c>
      <c r="G42">
        <v>0</v>
      </c>
      <c r="H42" t="s">
        <v>622</v>
      </c>
    </row>
    <row r="43" spans="1:8" x14ac:dyDescent="0.25">
      <c r="A43" t="s">
        <v>639</v>
      </c>
      <c r="B43" t="s">
        <v>42</v>
      </c>
      <c r="C43" t="s">
        <v>43</v>
      </c>
      <c r="D43" t="s">
        <v>45</v>
      </c>
      <c r="E43" t="s">
        <v>640</v>
      </c>
      <c r="F43">
        <v>3</v>
      </c>
      <c r="G43">
        <v>0</v>
      </c>
      <c r="H43" t="s">
        <v>622</v>
      </c>
    </row>
    <row r="44" spans="1:8" x14ac:dyDescent="0.25">
      <c r="A44" t="s">
        <v>641</v>
      </c>
      <c r="B44" t="s">
        <v>42</v>
      </c>
      <c r="C44" t="s">
        <v>44</v>
      </c>
      <c r="D44" t="s">
        <v>46</v>
      </c>
      <c r="E44" t="s">
        <v>642</v>
      </c>
      <c r="F44">
        <v>2</v>
      </c>
      <c r="G44">
        <v>3</v>
      </c>
      <c r="H44" t="s">
        <v>622</v>
      </c>
    </row>
    <row r="45" spans="1:8" x14ac:dyDescent="0.25">
      <c r="A45" t="s">
        <v>643</v>
      </c>
      <c r="B45" t="s">
        <v>47</v>
      </c>
      <c r="C45" t="s">
        <v>49</v>
      </c>
      <c r="D45" t="s">
        <v>51</v>
      </c>
      <c r="E45" t="s">
        <v>644</v>
      </c>
      <c r="F45">
        <v>2</v>
      </c>
      <c r="G45">
        <v>1</v>
      </c>
      <c r="H45" t="s">
        <v>622</v>
      </c>
    </row>
    <row r="46" spans="1:8" x14ac:dyDescent="0.25">
      <c r="A46" t="s">
        <v>645</v>
      </c>
      <c r="B46" t="s">
        <v>52</v>
      </c>
      <c r="C46" t="s">
        <v>53</v>
      </c>
      <c r="D46" t="s">
        <v>60</v>
      </c>
      <c r="E46" t="s">
        <v>646</v>
      </c>
      <c r="F46">
        <v>5</v>
      </c>
      <c r="G46">
        <v>0</v>
      </c>
      <c r="H46" t="s">
        <v>622</v>
      </c>
    </row>
    <row r="47" spans="1:8" x14ac:dyDescent="0.25">
      <c r="A47" t="s">
        <v>647</v>
      </c>
      <c r="B47" t="s">
        <v>55</v>
      </c>
      <c r="C47" t="s">
        <v>56</v>
      </c>
      <c r="D47" t="s">
        <v>58</v>
      </c>
      <c r="E47" t="s">
        <v>648</v>
      </c>
      <c r="F47">
        <v>0</v>
      </c>
      <c r="G47">
        <v>0</v>
      </c>
      <c r="H47" t="s">
        <v>622</v>
      </c>
    </row>
    <row r="48" spans="1:8" x14ac:dyDescent="0.25">
      <c r="A48" t="s">
        <v>649</v>
      </c>
      <c r="B48" t="s">
        <v>55</v>
      </c>
      <c r="C48" t="s">
        <v>57</v>
      </c>
      <c r="D48" t="s">
        <v>59</v>
      </c>
      <c r="E48" t="s">
        <v>650</v>
      </c>
      <c r="F48">
        <v>1</v>
      </c>
      <c r="G48">
        <v>0</v>
      </c>
      <c r="H48" t="s">
        <v>622</v>
      </c>
    </row>
    <row r="49" spans="1:8" x14ac:dyDescent="0.25">
      <c r="A49" t="s">
        <v>651</v>
      </c>
      <c r="B49" t="s">
        <v>52</v>
      </c>
      <c r="C49" t="s">
        <v>54</v>
      </c>
      <c r="D49" t="s">
        <v>61</v>
      </c>
      <c r="E49" t="s">
        <v>652</v>
      </c>
      <c r="F49">
        <v>0</v>
      </c>
      <c r="G49">
        <v>1</v>
      </c>
      <c r="H49" t="s">
        <v>622</v>
      </c>
    </row>
    <row r="50" spans="1:8" x14ac:dyDescent="0.25">
      <c r="A50" t="s">
        <v>653</v>
      </c>
      <c r="B50" t="s">
        <v>7</v>
      </c>
      <c r="C50" t="s">
        <v>14</v>
      </c>
      <c r="D50" t="s">
        <v>8</v>
      </c>
      <c r="E50" t="s">
        <v>654</v>
      </c>
      <c r="F50" t="s">
        <v>621</v>
      </c>
      <c r="G50" t="s">
        <v>621</v>
      </c>
      <c r="H50" t="s">
        <v>622</v>
      </c>
    </row>
    <row r="51" spans="1:8" x14ac:dyDescent="0.25">
      <c r="A51" t="s">
        <v>655</v>
      </c>
      <c r="B51" t="s">
        <v>7</v>
      </c>
      <c r="C51" t="s">
        <v>9</v>
      </c>
      <c r="D51" t="s">
        <v>13</v>
      </c>
      <c r="E51" t="s">
        <v>654</v>
      </c>
      <c r="F51" t="s">
        <v>621</v>
      </c>
      <c r="G51" t="s">
        <v>621</v>
      </c>
      <c r="H51" t="s">
        <v>622</v>
      </c>
    </row>
    <row r="52" spans="1:8" x14ac:dyDescent="0.25">
      <c r="A52" t="s">
        <v>656</v>
      </c>
      <c r="B52" t="s">
        <v>15</v>
      </c>
      <c r="C52" t="s">
        <v>19</v>
      </c>
      <c r="D52" t="s">
        <v>16</v>
      </c>
      <c r="E52" t="s">
        <v>657</v>
      </c>
      <c r="F52" t="s">
        <v>621</v>
      </c>
      <c r="G52" t="s">
        <v>621</v>
      </c>
      <c r="H52" t="s">
        <v>622</v>
      </c>
    </row>
    <row r="53" spans="1:8" x14ac:dyDescent="0.25">
      <c r="A53" t="s">
        <v>658</v>
      </c>
      <c r="B53" t="s">
        <v>15</v>
      </c>
      <c r="C53" t="s">
        <v>17</v>
      </c>
      <c r="D53" t="s">
        <v>18</v>
      </c>
      <c r="E53" t="s">
        <v>657</v>
      </c>
      <c r="F53" t="s">
        <v>621</v>
      </c>
      <c r="G53" t="s">
        <v>621</v>
      </c>
      <c r="H53" t="s">
        <v>622</v>
      </c>
    </row>
    <row r="54" spans="1:8" x14ac:dyDescent="0.25">
      <c r="A54" t="s">
        <v>659</v>
      </c>
      <c r="B54" t="s">
        <v>2</v>
      </c>
      <c r="C54" t="s">
        <v>5</v>
      </c>
      <c r="D54" t="s">
        <v>4</v>
      </c>
      <c r="E54" t="s">
        <v>660</v>
      </c>
      <c r="F54" t="s">
        <v>621</v>
      </c>
      <c r="G54" t="s">
        <v>621</v>
      </c>
      <c r="H54" t="s">
        <v>622</v>
      </c>
    </row>
    <row r="55" spans="1:8" x14ac:dyDescent="0.25">
      <c r="A55" t="s">
        <v>661</v>
      </c>
      <c r="B55" t="s">
        <v>2</v>
      </c>
      <c r="C55" t="s">
        <v>6</v>
      </c>
      <c r="D55" t="s">
        <v>3</v>
      </c>
      <c r="E55" t="s">
        <v>660</v>
      </c>
      <c r="F55" t="s">
        <v>621</v>
      </c>
      <c r="G55" t="s">
        <v>621</v>
      </c>
      <c r="H55" t="s">
        <v>622</v>
      </c>
    </row>
    <row r="56" spans="1:8" x14ac:dyDescent="0.25">
      <c r="A56" t="s">
        <v>662</v>
      </c>
      <c r="B56" t="s">
        <v>22</v>
      </c>
      <c r="C56" t="s">
        <v>29</v>
      </c>
      <c r="D56" t="s">
        <v>23</v>
      </c>
      <c r="E56" t="s">
        <v>663</v>
      </c>
      <c r="F56" t="s">
        <v>621</v>
      </c>
      <c r="G56" t="s">
        <v>621</v>
      </c>
      <c r="H56" t="s">
        <v>622</v>
      </c>
    </row>
    <row r="57" spans="1:8" x14ac:dyDescent="0.25">
      <c r="A57" t="s">
        <v>664</v>
      </c>
      <c r="B57" t="s">
        <v>22</v>
      </c>
      <c r="C57" t="s">
        <v>24</v>
      </c>
      <c r="D57" t="s">
        <v>28</v>
      </c>
      <c r="E57" t="s">
        <v>663</v>
      </c>
      <c r="F57" t="s">
        <v>621</v>
      </c>
      <c r="G57" t="s">
        <v>621</v>
      </c>
      <c r="H57" t="s">
        <v>622</v>
      </c>
    </row>
    <row r="58" spans="1:8" x14ac:dyDescent="0.25">
      <c r="A58" t="s">
        <v>665</v>
      </c>
      <c r="B58" t="s">
        <v>25</v>
      </c>
      <c r="C58" t="s">
        <v>27</v>
      </c>
      <c r="D58" t="s">
        <v>30</v>
      </c>
      <c r="E58" t="s">
        <v>666</v>
      </c>
      <c r="F58" t="s">
        <v>621</v>
      </c>
      <c r="G58" t="s">
        <v>621</v>
      </c>
      <c r="H58" t="s">
        <v>622</v>
      </c>
    </row>
    <row r="59" spans="1:8" x14ac:dyDescent="0.25">
      <c r="A59" t="s">
        <v>667</v>
      </c>
      <c r="B59" t="s">
        <v>25</v>
      </c>
      <c r="C59" t="s">
        <v>31</v>
      </c>
      <c r="D59" t="s">
        <v>26</v>
      </c>
      <c r="E59" t="s">
        <v>666</v>
      </c>
      <c r="F59" t="s">
        <v>621</v>
      </c>
      <c r="G59" t="s">
        <v>621</v>
      </c>
      <c r="H59" t="s">
        <v>622</v>
      </c>
    </row>
    <row r="60" spans="1:8" x14ac:dyDescent="0.25">
      <c r="A60" t="s">
        <v>668</v>
      </c>
      <c r="B60" t="s">
        <v>10</v>
      </c>
      <c r="C60" t="s">
        <v>21</v>
      </c>
      <c r="D60" t="s">
        <v>11</v>
      </c>
      <c r="E60" t="s">
        <v>669</v>
      </c>
      <c r="F60" t="s">
        <v>621</v>
      </c>
      <c r="G60" t="s">
        <v>621</v>
      </c>
      <c r="H60" t="s">
        <v>622</v>
      </c>
    </row>
    <row r="61" spans="1:8" x14ac:dyDescent="0.25">
      <c r="A61" t="s">
        <v>670</v>
      </c>
      <c r="B61" t="s">
        <v>10</v>
      </c>
      <c r="C61" t="s">
        <v>12</v>
      </c>
      <c r="D61" t="s">
        <v>20</v>
      </c>
      <c r="E61" t="s">
        <v>669</v>
      </c>
      <c r="F61" t="s">
        <v>621</v>
      </c>
      <c r="G61" t="s">
        <v>621</v>
      </c>
      <c r="H61" t="s">
        <v>622</v>
      </c>
    </row>
    <row r="62" spans="1:8" x14ac:dyDescent="0.25">
      <c r="A62" t="s">
        <v>671</v>
      </c>
      <c r="B62" t="s">
        <v>42</v>
      </c>
      <c r="C62" t="s">
        <v>46</v>
      </c>
      <c r="D62" t="s">
        <v>43</v>
      </c>
      <c r="E62" t="s">
        <v>672</v>
      </c>
      <c r="F62" t="s">
        <v>621</v>
      </c>
      <c r="G62" t="s">
        <v>621</v>
      </c>
      <c r="H62" t="s">
        <v>622</v>
      </c>
    </row>
    <row r="63" spans="1:8" x14ac:dyDescent="0.25">
      <c r="A63" t="s">
        <v>673</v>
      </c>
      <c r="B63" t="s">
        <v>42</v>
      </c>
      <c r="C63" t="s">
        <v>44</v>
      </c>
      <c r="D63" t="s">
        <v>45</v>
      </c>
      <c r="E63" t="s">
        <v>672</v>
      </c>
      <c r="F63" t="s">
        <v>621</v>
      </c>
      <c r="G63" t="s">
        <v>621</v>
      </c>
      <c r="H63" t="s">
        <v>622</v>
      </c>
    </row>
    <row r="64" spans="1:8" x14ac:dyDescent="0.25">
      <c r="A64" t="s">
        <v>674</v>
      </c>
      <c r="B64" t="s">
        <v>32</v>
      </c>
      <c r="C64" t="s">
        <v>39</v>
      </c>
      <c r="D64" t="s">
        <v>33</v>
      </c>
      <c r="E64" t="s">
        <v>675</v>
      </c>
      <c r="F64" t="s">
        <v>621</v>
      </c>
      <c r="G64" t="s">
        <v>621</v>
      </c>
      <c r="H64" t="s">
        <v>622</v>
      </c>
    </row>
    <row r="65" spans="1:8" x14ac:dyDescent="0.25">
      <c r="A65" t="s">
        <v>676</v>
      </c>
      <c r="B65" t="s">
        <v>32</v>
      </c>
      <c r="C65" t="s">
        <v>34</v>
      </c>
      <c r="D65" t="s">
        <v>38</v>
      </c>
      <c r="E65" t="s">
        <v>675</v>
      </c>
      <c r="F65" t="s">
        <v>621</v>
      </c>
      <c r="G65" t="s">
        <v>621</v>
      </c>
      <c r="H65" t="s">
        <v>622</v>
      </c>
    </row>
    <row r="66" spans="1:8" x14ac:dyDescent="0.25">
      <c r="A66" t="s">
        <v>677</v>
      </c>
      <c r="B66" t="s">
        <v>35</v>
      </c>
      <c r="C66" t="s">
        <v>37</v>
      </c>
      <c r="D66" t="s">
        <v>40</v>
      </c>
      <c r="E66" t="s">
        <v>678</v>
      </c>
      <c r="F66" t="s">
        <v>621</v>
      </c>
      <c r="G66" t="s">
        <v>621</v>
      </c>
      <c r="H66" t="s">
        <v>622</v>
      </c>
    </row>
    <row r="67" spans="1:8" x14ac:dyDescent="0.25">
      <c r="A67" t="s">
        <v>679</v>
      </c>
      <c r="B67" t="s">
        <v>35</v>
      </c>
      <c r="C67" t="s">
        <v>41</v>
      </c>
      <c r="D67" t="s">
        <v>36</v>
      </c>
      <c r="E67" t="s">
        <v>678</v>
      </c>
      <c r="F67" t="s">
        <v>621</v>
      </c>
      <c r="G67" t="s">
        <v>621</v>
      </c>
      <c r="H67" t="s">
        <v>622</v>
      </c>
    </row>
    <row r="68" spans="1:8" x14ac:dyDescent="0.25">
      <c r="A68" t="s">
        <v>680</v>
      </c>
      <c r="B68" t="s">
        <v>55</v>
      </c>
      <c r="C68" t="s">
        <v>59</v>
      </c>
      <c r="D68" t="s">
        <v>56</v>
      </c>
      <c r="E68" t="s">
        <v>681</v>
      </c>
      <c r="F68" t="s">
        <v>621</v>
      </c>
      <c r="G68" t="s">
        <v>621</v>
      </c>
      <c r="H68" t="s">
        <v>622</v>
      </c>
    </row>
    <row r="69" spans="1:8" x14ac:dyDescent="0.25">
      <c r="A69" t="s">
        <v>682</v>
      </c>
      <c r="B69" t="s">
        <v>55</v>
      </c>
      <c r="C69" t="s">
        <v>57</v>
      </c>
      <c r="D69" t="s">
        <v>58</v>
      </c>
      <c r="E69" t="s">
        <v>681</v>
      </c>
      <c r="F69" t="s">
        <v>621</v>
      </c>
      <c r="G69" t="s">
        <v>621</v>
      </c>
      <c r="H69" t="s">
        <v>622</v>
      </c>
    </row>
    <row r="70" spans="1:8" x14ac:dyDescent="0.25">
      <c r="A70" t="s">
        <v>683</v>
      </c>
      <c r="B70" t="s">
        <v>52</v>
      </c>
      <c r="C70" t="s">
        <v>54</v>
      </c>
      <c r="D70" t="s">
        <v>60</v>
      </c>
      <c r="E70" t="s">
        <v>684</v>
      </c>
      <c r="F70" t="s">
        <v>621</v>
      </c>
      <c r="G70" t="s">
        <v>621</v>
      </c>
      <c r="H70" t="s">
        <v>622</v>
      </c>
    </row>
    <row r="71" spans="1:8" x14ac:dyDescent="0.25">
      <c r="A71" t="s">
        <v>685</v>
      </c>
      <c r="B71" t="s">
        <v>52</v>
      </c>
      <c r="C71" t="s">
        <v>61</v>
      </c>
      <c r="D71" t="s">
        <v>53</v>
      </c>
      <c r="E71" t="s">
        <v>684</v>
      </c>
      <c r="F71" t="s">
        <v>621</v>
      </c>
      <c r="G71" t="s">
        <v>621</v>
      </c>
      <c r="H71" t="s">
        <v>622</v>
      </c>
    </row>
    <row r="72" spans="1:8" x14ac:dyDescent="0.25">
      <c r="A72" t="s">
        <v>686</v>
      </c>
      <c r="B72" t="s">
        <v>47</v>
      </c>
      <c r="C72" t="s">
        <v>49</v>
      </c>
      <c r="D72" t="s">
        <v>50</v>
      </c>
      <c r="E72" t="s">
        <v>687</v>
      </c>
      <c r="F72" t="s">
        <v>621</v>
      </c>
      <c r="G72" t="s">
        <v>621</v>
      </c>
      <c r="H72" t="s">
        <v>622</v>
      </c>
    </row>
    <row r="73" spans="1:8" x14ac:dyDescent="0.25">
      <c r="A73" s="4" t="s">
        <v>688</v>
      </c>
      <c r="B73" t="s">
        <v>47</v>
      </c>
      <c r="C73" t="s">
        <v>51</v>
      </c>
      <c r="D73" t="s">
        <v>48</v>
      </c>
      <c r="E73" t="s">
        <v>687</v>
      </c>
      <c r="F73" t="s">
        <v>621</v>
      </c>
      <c r="G73" t="s">
        <v>621</v>
      </c>
      <c r="H73" t="s">
        <v>622</v>
      </c>
    </row>
    <row r="74" spans="1:8" x14ac:dyDescent="0.25">
      <c r="A74" t="s">
        <v>689</v>
      </c>
      <c r="B74" t="s">
        <v>690</v>
      </c>
      <c r="E74" t="s">
        <v>691</v>
      </c>
      <c r="F74" t="s">
        <v>621</v>
      </c>
      <c r="G74" t="s">
        <v>621</v>
      </c>
      <c r="H74" t="s">
        <v>622</v>
      </c>
    </row>
    <row r="75" spans="1:8" x14ac:dyDescent="0.25">
      <c r="A75" s="4" t="s">
        <v>692</v>
      </c>
      <c r="B75" t="s">
        <v>690</v>
      </c>
      <c r="E75" t="s">
        <v>693</v>
      </c>
      <c r="F75" t="s">
        <v>621</v>
      </c>
      <c r="G75" t="s">
        <v>621</v>
      </c>
      <c r="H75" t="s">
        <v>622</v>
      </c>
    </row>
    <row r="76" spans="1:8" x14ac:dyDescent="0.25">
      <c r="A76" t="s">
        <v>694</v>
      </c>
      <c r="B76" t="s">
        <v>690</v>
      </c>
      <c r="E76" t="s">
        <v>695</v>
      </c>
      <c r="F76" t="s">
        <v>621</v>
      </c>
      <c r="G76" t="s">
        <v>621</v>
      </c>
      <c r="H76" t="s">
        <v>622</v>
      </c>
    </row>
    <row r="77" spans="1:8" x14ac:dyDescent="0.25">
      <c r="A77" t="s">
        <v>696</v>
      </c>
      <c r="B77" t="s">
        <v>690</v>
      </c>
      <c r="E77" t="s">
        <v>697</v>
      </c>
      <c r="F77" t="s">
        <v>621</v>
      </c>
      <c r="G77" t="s">
        <v>621</v>
      </c>
      <c r="H77" t="s">
        <v>622</v>
      </c>
    </row>
    <row r="78" spans="1:8" x14ac:dyDescent="0.25">
      <c r="A78" t="s">
        <v>698</v>
      </c>
      <c r="B78" t="s">
        <v>690</v>
      </c>
      <c r="E78" t="s">
        <v>699</v>
      </c>
      <c r="F78" t="s">
        <v>621</v>
      </c>
      <c r="G78" t="s">
        <v>621</v>
      </c>
      <c r="H78" t="s">
        <v>622</v>
      </c>
    </row>
    <row r="79" spans="1:8" x14ac:dyDescent="0.25">
      <c r="A79" t="s">
        <v>700</v>
      </c>
      <c r="B79" t="s">
        <v>690</v>
      </c>
      <c r="E79" t="s">
        <v>701</v>
      </c>
      <c r="F79" t="s">
        <v>621</v>
      </c>
      <c r="G79" t="s">
        <v>621</v>
      </c>
      <c r="H79" t="s">
        <v>622</v>
      </c>
    </row>
    <row r="80" spans="1:8" x14ac:dyDescent="0.25">
      <c r="A80" t="s">
        <v>702</v>
      </c>
      <c r="B80" t="s">
        <v>690</v>
      </c>
      <c r="E80" t="s">
        <v>703</v>
      </c>
      <c r="F80" t="s">
        <v>621</v>
      </c>
      <c r="G80" t="s">
        <v>621</v>
      </c>
      <c r="H80" t="s">
        <v>622</v>
      </c>
    </row>
    <row r="81" spans="1:8" x14ac:dyDescent="0.25">
      <c r="A81" t="s">
        <v>704</v>
      </c>
      <c r="B81" t="s">
        <v>690</v>
      </c>
      <c r="E81" t="s">
        <v>705</v>
      </c>
      <c r="F81" t="s">
        <v>621</v>
      </c>
      <c r="G81" t="s">
        <v>621</v>
      </c>
      <c r="H81" t="s">
        <v>622</v>
      </c>
    </row>
    <row r="82" spans="1:8" x14ac:dyDescent="0.25">
      <c r="A82" t="s">
        <v>706</v>
      </c>
      <c r="B82" t="s">
        <v>690</v>
      </c>
      <c r="E82" t="s">
        <v>707</v>
      </c>
      <c r="F82" t="s">
        <v>621</v>
      </c>
      <c r="G82" t="s">
        <v>621</v>
      </c>
      <c r="H82" t="s">
        <v>622</v>
      </c>
    </row>
    <row r="83" spans="1:8" x14ac:dyDescent="0.25">
      <c r="A83" t="s">
        <v>708</v>
      </c>
      <c r="B83" t="s">
        <v>690</v>
      </c>
      <c r="E83" t="s">
        <v>709</v>
      </c>
      <c r="F83" t="s">
        <v>621</v>
      </c>
      <c r="G83" t="s">
        <v>621</v>
      </c>
      <c r="H83" t="s">
        <v>622</v>
      </c>
    </row>
    <row r="84" spans="1:8" x14ac:dyDescent="0.25">
      <c r="A84" t="s">
        <v>710</v>
      </c>
      <c r="B84" t="s">
        <v>690</v>
      </c>
      <c r="E84" t="s">
        <v>711</v>
      </c>
      <c r="F84" t="s">
        <v>621</v>
      </c>
      <c r="G84" t="s">
        <v>621</v>
      </c>
      <c r="H84" t="s">
        <v>622</v>
      </c>
    </row>
    <row r="85" spans="1:8" x14ac:dyDescent="0.25">
      <c r="A85" t="s">
        <v>712</v>
      </c>
      <c r="B85" t="s">
        <v>690</v>
      </c>
      <c r="E85" t="s">
        <v>713</v>
      </c>
      <c r="F85" t="s">
        <v>621</v>
      </c>
      <c r="G85" t="s">
        <v>621</v>
      </c>
      <c r="H85" t="s">
        <v>622</v>
      </c>
    </row>
    <row r="86" spans="1:8" x14ac:dyDescent="0.25">
      <c r="A86" t="s">
        <v>714</v>
      </c>
      <c r="B86" t="s">
        <v>690</v>
      </c>
      <c r="E86" t="s">
        <v>715</v>
      </c>
      <c r="F86" t="s">
        <v>621</v>
      </c>
      <c r="G86" t="s">
        <v>621</v>
      </c>
      <c r="H86" t="s">
        <v>622</v>
      </c>
    </row>
    <row r="87" spans="1:8" x14ac:dyDescent="0.25">
      <c r="A87" t="s">
        <v>716</v>
      </c>
      <c r="B87" t="s">
        <v>690</v>
      </c>
      <c r="E87" t="s">
        <v>717</v>
      </c>
      <c r="F87" t="s">
        <v>621</v>
      </c>
      <c r="G87" t="s">
        <v>621</v>
      </c>
      <c r="H87" t="s">
        <v>622</v>
      </c>
    </row>
    <row r="88" spans="1:8" x14ac:dyDescent="0.25">
      <c r="A88" t="s">
        <v>718</v>
      </c>
      <c r="B88" t="s">
        <v>690</v>
      </c>
      <c r="E88" t="s">
        <v>719</v>
      </c>
      <c r="F88" t="s">
        <v>621</v>
      </c>
      <c r="G88" t="s">
        <v>621</v>
      </c>
      <c r="H88" t="s">
        <v>622</v>
      </c>
    </row>
    <row r="89" spans="1:8" x14ac:dyDescent="0.25">
      <c r="A89" t="s">
        <v>720</v>
      </c>
      <c r="B89" t="s">
        <v>690</v>
      </c>
      <c r="E89" t="s">
        <v>721</v>
      </c>
      <c r="F89" t="s">
        <v>621</v>
      </c>
      <c r="G89" t="s">
        <v>621</v>
      </c>
      <c r="H89" t="s">
        <v>622</v>
      </c>
    </row>
    <row r="90" spans="1:8" x14ac:dyDescent="0.25">
      <c r="A90" t="s">
        <v>722</v>
      </c>
      <c r="B90" t="s">
        <v>723</v>
      </c>
      <c r="E90" t="s">
        <v>724</v>
      </c>
      <c r="F90" t="s">
        <v>621</v>
      </c>
      <c r="G90" t="s">
        <v>621</v>
      </c>
      <c r="H90" t="s">
        <v>622</v>
      </c>
    </row>
    <row r="91" spans="1:8" x14ac:dyDescent="0.25">
      <c r="A91" t="s">
        <v>725</v>
      </c>
      <c r="B91" t="s">
        <v>723</v>
      </c>
      <c r="E91" t="s">
        <v>726</v>
      </c>
      <c r="F91" t="s">
        <v>621</v>
      </c>
      <c r="G91" t="s">
        <v>621</v>
      </c>
      <c r="H91" t="s">
        <v>622</v>
      </c>
    </row>
    <row r="92" spans="1:8" x14ac:dyDescent="0.25">
      <c r="A92" t="s">
        <v>727</v>
      </c>
      <c r="B92" t="s">
        <v>723</v>
      </c>
      <c r="E92" t="s">
        <v>728</v>
      </c>
      <c r="F92" t="s">
        <v>621</v>
      </c>
      <c r="G92" t="s">
        <v>621</v>
      </c>
      <c r="H92" t="s">
        <v>622</v>
      </c>
    </row>
    <row r="93" spans="1:8" x14ac:dyDescent="0.25">
      <c r="A93" t="s">
        <v>729</v>
      </c>
      <c r="B93" t="s">
        <v>723</v>
      </c>
      <c r="E93" t="s">
        <v>730</v>
      </c>
      <c r="F93" t="s">
        <v>621</v>
      </c>
      <c r="G93" t="s">
        <v>621</v>
      </c>
      <c r="H93" t="s">
        <v>622</v>
      </c>
    </row>
    <row r="94" spans="1:8" x14ac:dyDescent="0.25">
      <c r="A94" t="s">
        <v>731</v>
      </c>
      <c r="B94" t="s">
        <v>723</v>
      </c>
      <c r="E94" t="s">
        <v>732</v>
      </c>
      <c r="F94" t="s">
        <v>621</v>
      </c>
      <c r="G94" t="s">
        <v>621</v>
      </c>
      <c r="H94" t="s">
        <v>622</v>
      </c>
    </row>
    <row r="95" spans="1:8" x14ac:dyDescent="0.25">
      <c r="A95" t="s">
        <v>733</v>
      </c>
      <c r="B95" t="s">
        <v>723</v>
      </c>
      <c r="E95" t="s">
        <v>734</v>
      </c>
      <c r="F95" t="s">
        <v>621</v>
      </c>
      <c r="G95" t="s">
        <v>621</v>
      </c>
      <c r="H95" t="s">
        <v>622</v>
      </c>
    </row>
    <row r="96" spans="1:8" x14ac:dyDescent="0.25">
      <c r="A96" t="s">
        <v>735</v>
      </c>
      <c r="B96" t="s">
        <v>723</v>
      </c>
      <c r="E96" t="s">
        <v>736</v>
      </c>
      <c r="F96" t="s">
        <v>621</v>
      </c>
      <c r="G96" t="s">
        <v>621</v>
      </c>
      <c r="H96" t="s">
        <v>622</v>
      </c>
    </row>
    <row r="97" spans="1:8" x14ac:dyDescent="0.25">
      <c r="A97" t="s">
        <v>737</v>
      </c>
      <c r="B97" t="s">
        <v>723</v>
      </c>
      <c r="E97" t="s">
        <v>738</v>
      </c>
      <c r="F97" t="s">
        <v>621</v>
      </c>
      <c r="G97" t="s">
        <v>621</v>
      </c>
      <c r="H97" t="s">
        <v>622</v>
      </c>
    </row>
    <row r="98" spans="1:8" x14ac:dyDescent="0.25">
      <c r="A98" t="s">
        <v>739</v>
      </c>
      <c r="B98" t="s">
        <v>740</v>
      </c>
      <c r="E98" t="s">
        <v>741</v>
      </c>
      <c r="F98" t="s">
        <v>621</v>
      </c>
      <c r="G98" t="s">
        <v>621</v>
      </c>
      <c r="H98" t="s">
        <v>622</v>
      </c>
    </row>
    <row r="99" spans="1:8" x14ac:dyDescent="0.25">
      <c r="A99" t="s">
        <v>742</v>
      </c>
      <c r="B99" t="s">
        <v>740</v>
      </c>
      <c r="E99" t="s">
        <v>743</v>
      </c>
      <c r="F99" t="s">
        <v>621</v>
      </c>
      <c r="G99" t="s">
        <v>621</v>
      </c>
      <c r="H99" t="s">
        <v>622</v>
      </c>
    </row>
    <row r="100" spans="1:8" x14ac:dyDescent="0.25">
      <c r="A100" t="s">
        <v>744</v>
      </c>
      <c r="B100" t="s">
        <v>740</v>
      </c>
      <c r="E100" t="s">
        <v>745</v>
      </c>
      <c r="F100" t="s">
        <v>621</v>
      </c>
      <c r="G100" t="s">
        <v>621</v>
      </c>
      <c r="H100" t="s">
        <v>622</v>
      </c>
    </row>
    <row r="101" spans="1:8" x14ac:dyDescent="0.25">
      <c r="A101" t="s">
        <v>746</v>
      </c>
      <c r="B101" t="s">
        <v>740</v>
      </c>
      <c r="E101" t="s">
        <v>747</v>
      </c>
      <c r="F101" t="s">
        <v>621</v>
      </c>
      <c r="G101" t="s">
        <v>621</v>
      </c>
      <c r="H101" t="s">
        <v>622</v>
      </c>
    </row>
    <row r="102" spans="1:8" x14ac:dyDescent="0.25">
      <c r="A102" t="s">
        <v>748</v>
      </c>
      <c r="B102" t="s">
        <v>749</v>
      </c>
      <c r="E102" t="s">
        <v>750</v>
      </c>
      <c r="F102" t="s">
        <v>621</v>
      </c>
      <c r="G102" t="s">
        <v>621</v>
      </c>
      <c r="H102" t="s">
        <v>622</v>
      </c>
    </row>
    <row r="103" spans="1:8" x14ac:dyDescent="0.25">
      <c r="A103" t="s">
        <v>751</v>
      </c>
      <c r="B103" t="s">
        <v>749</v>
      </c>
      <c r="E103" t="s">
        <v>752</v>
      </c>
      <c r="F103" t="s">
        <v>621</v>
      </c>
      <c r="G103" t="s">
        <v>621</v>
      </c>
      <c r="H103" t="s">
        <v>622</v>
      </c>
    </row>
    <row r="104" spans="1:8" x14ac:dyDescent="0.25">
      <c r="A104" t="s">
        <v>753</v>
      </c>
      <c r="B104" t="s">
        <v>754</v>
      </c>
      <c r="E104" t="s">
        <v>755</v>
      </c>
      <c r="F104" t="s">
        <v>621</v>
      </c>
      <c r="G104" t="s">
        <v>621</v>
      </c>
      <c r="H104" t="s">
        <v>622</v>
      </c>
    </row>
    <row r="105" spans="1:8" x14ac:dyDescent="0.25">
      <c r="A105" t="s">
        <v>756</v>
      </c>
      <c r="B105" t="s">
        <v>757</v>
      </c>
      <c r="E105" t="s">
        <v>758</v>
      </c>
      <c r="F105" t="s">
        <v>621</v>
      </c>
      <c r="G105" t="s">
        <v>621</v>
      </c>
      <c r="H105" t="s">
        <v>622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C84A9-9334-47A2-A97A-31B11DF83FF5}">
  <dimension ref="A1:H49"/>
  <sheetViews>
    <sheetView topLeftCell="A28" workbookViewId="0">
      <selection activeCell="D53" sqref="D53"/>
    </sheetView>
  </sheetViews>
  <sheetFormatPr baseColWidth="10" defaultRowHeight="15" x14ac:dyDescent="0.25"/>
  <cols>
    <col min="1" max="1" width="14.42578125" customWidth="1"/>
    <col min="3" max="3" width="12.28515625" customWidth="1"/>
    <col min="4" max="4" width="22.28515625" customWidth="1"/>
    <col min="7" max="7" width="15.85546875" customWidth="1"/>
    <col min="8" max="8" width="15.28515625" customWidth="1"/>
  </cols>
  <sheetData>
    <row r="1" spans="1:8" x14ac:dyDescent="0.25">
      <c r="A1" s="1" t="s">
        <v>80</v>
      </c>
      <c r="B1" s="1" t="s">
        <v>518</v>
      </c>
      <c r="C1" s="1" t="s">
        <v>548</v>
      </c>
      <c r="D1" s="1" t="s">
        <v>549</v>
      </c>
      <c r="E1" s="1" t="s">
        <v>551</v>
      </c>
      <c r="F1" s="1" t="s">
        <v>552</v>
      </c>
      <c r="G1" s="1" t="s">
        <v>759</v>
      </c>
      <c r="H1" s="1" t="s">
        <v>760</v>
      </c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>
        <v>2</v>
      </c>
      <c r="F2">
        <v>0</v>
      </c>
      <c r="G2">
        <v>2</v>
      </c>
      <c r="H2">
        <v>0</v>
      </c>
    </row>
    <row r="3" spans="1:8" x14ac:dyDescent="0.25">
      <c r="A3" t="s">
        <v>1</v>
      </c>
      <c r="B3" t="s">
        <v>25</v>
      </c>
      <c r="C3" t="s">
        <v>26</v>
      </c>
      <c r="D3" t="s">
        <v>27</v>
      </c>
      <c r="E3">
        <v>2</v>
      </c>
      <c r="F3">
        <v>2</v>
      </c>
      <c r="G3">
        <v>2</v>
      </c>
      <c r="H3">
        <v>2</v>
      </c>
    </row>
    <row r="4" spans="1:8" x14ac:dyDescent="0.25">
      <c r="A4" t="s">
        <v>1</v>
      </c>
      <c r="B4" t="s">
        <v>35</v>
      </c>
      <c r="C4" t="s">
        <v>36</v>
      </c>
      <c r="D4" t="s">
        <v>37</v>
      </c>
      <c r="E4">
        <v>1</v>
      </c>
      <c r="F4">
        <v>1</v>
      </c>
      <c r="G4">
        <v>1</v>
      </c>
      <c r="H4">
        <v>1</v>
      </c>
    </row>
    <row r="5" spans="1:8" x14ac:dyDescent="0.25">
      <c r="A5" t="s">
        <v>1</v>
      </c>
      <c r="B5" t="s">
        <v>52</v>
      </c>
      <c r="C5" t="s">
        <v>60</v>
      </c>
      <c r="D5" t="s">
        <v>61</v>
      </c>
      <c r="E5">
        <v>1</v>
      </c>
      <c r="F5">
        <v>3</v>
      </c>
      <c r="G5">
        <v>1</v>
      </c>
      <c r="H5">
        <v>3</v>
      </c>
    </row>
    <row r="6" spans="1:8" x14ac:dyDescent="0.25">
      <c r="A6" t="s">
        <v>63</v>
      </c>
      <c r="B6" t="s">
        <v>35</v>
      </c>
      <c r="C6" t="s">
        <v>36</v>
      </c>
      <c r="D6" t="s">
        <v>37</v>
      </c>
      <c r="E6">
        <v>1</v>
      </c>
      <c r="F6">
        <v>1</v>
      </c>
      <c r="G6">
        <v>1</v>
      </c>
      <c r="H6">
        <v>1</v>
      </c>
    </row>
    <row r="7" spans="1:8" x14ac:dyDescent="0.25">
      <c r="A7" t="s">
        <v>63</v>
      </c>
      <c r="B7" t="s">
        <v>47</v>
      </c>
      <c r="C7" t="s">
        <v>48</v>
      </c>
      <c r="D7" t="s">
        <v>49</v>
      </c>
      <c r="E7">
        <v>3</v>
      </c>
      <c r="F7">
        <v>0</v>
      </c>
      <c r="G7">
        <v>3</v>
      </c>
      <c r="H7">
        <v>0</v>
      </c>
    </row>
    <row r="8" spans="1:8" x14ac:dyDescent="0.25">
      <c r="A8" t="s">
        <v>63</v>
      </c>
      <c r="B8" t="s">
        <v>52</v>
      </c>
      <c r="C8" t="s">
        <v>60</v>
      </c>
      <c r="D8" t="s">
        <v>61</v>
      </c>
      <c r="E8">
        <v>1</v>
      </c>
      <c r="F8">
        <v>3</v>
      </c>
      <c r="G8">
        <v>1</v>
      </c>
      <c r="H8">
        <v>3</v>
      </c>
    </row>
    <row r="9" spans="1:8" x14ac:dyDescent="0.25">
      <c r="A9" t="s">
        <v>63</v>
      </c>
      <c r="B9" t="s">
        <v>2</v>
      </c>
      <c r="C9" t="s">
        <v>4</v>
      </c>
      <c r="D9" t="s">
        <v>6</v>
      </c>
      <c r="E9">
        <v>1</v>
      </c>
      <c r="F9">
        <v>1</v>
      </c>
      <c r="G9">
        <v>1</v>
      </c>
      <c r="H9">
        <v>1</v>
      </c>
    </row>
    <row r="10" spans="1:8" x14ac:dyDescent="0.25">
      <c r="A10" t="s">
        <v>65</v>
      </c>
      <c r="B10" t="s">
        <v>2</v>
      </c>
      <c r="C10" t="s">
        <v>3</v>
      </c>
      <c r="D10" t="s">
        <v>4</v>
      </c>
      <c r="E10">
        <v>2</v>
      </c>
      <c r="F10">
        <v>0</v>
      </c>
      <c r="G10">
        <v>2</v>
      </c>
      <c r="H10">
        <v>0</v>
      </c>
    </row>
    <row r="11" spans="1:8" x14ac:dyDescent="0.25">
      <c r="A11" t="s">
        <v>65</v>
      </c>
      <c r="B11" t="s">
        <v>2</v>
      </c>
      <c r="C11" t="s">
        <v>4</v>
      </c>
      <c r="D11" t="s">
        <v>6</v>
      </c>
      <c r="E11">
        <v>1</v>
      </c>
      <c r="F11">
        <v>1</v>
      </c>
      <c r="G11">
        <v>1</v>
      </c>
      <c r="H11">
        <v>1</v>
      </c>
    </row>
    <row r="12" spans="1:8" x14ac:dyDescent="0.25">
      <c r="A12" t="s">
        <v>65</v>
      </c>
      <c r="B12" t="s">
        <v>15</v>
      </c>
      <c r="C12" t="s">
        <v>16</v>
      </c>
      <c r="D12" t="s">
        <v>18</v>
      </c>
      <c r="E12">
        <v>3</v>
      </c>
      <c r="F12">
        <v>0</v>
      </c>
      <c r="G12">
        <v>3</v>
      </c>
      <c r="H12">
        <v>0</v>
      </c>
    </row>
    <row r="13" spans="1:8" x14ac:dyDescent="0.25">
      <c r="A13" t="s">
        <v>65</v>
      </c>
      <c r="B13" t="s">
        <v>47</v>
      </c>
      <c r="C13" t="s">
        <v>48</v>
      </c>
      <c r="D13" t="s">
        <v>50</v>
      </c>
      <c r="E13">
        <v>2</v>
      </c>
      <c r="F13">
        <v>0</v>
      </c>
      <c r="G13">
        <v>2</v>
      </c>
      <c r="H13">
        <v>0</v>
      </c>
    </row>
    <row r="14" spans="1:8" x14ac:dyDescent="0.25">
      <c r="A14" t="s">
        <v>65</v>
      </c>
      <c r="B14" t="s">
        <v>42</v>
      </c>
      <c r="C14" t="s">
        <v>43</v>
      </c>
      <c r="D14" t="s">
        <v>45</v>
      </c>
      <c r="E14">
        <v>3</v>
      </c>
      <c r="F14">
        <v>0</v>
      </c>
      <c r="G14">
        <v>3</v>
      </c>
      <c r="H14">
        <v>0</v>
      </c>
    </row>
    <row r="15" spans="1:8" x14ac:dyDescent="0.25">
      <c r="A15" t="s">
        <v>67</v>
      </c>
      <c r="B15" t="s">
        <v>2</v>
      </c>
      <c r="C15" t="s">
        <v>3</v>
      </c>
      <c r="D15" t="s">
        <v>4</v>
      </c>
      <c r="E15">
        <v>2</v>
      </c>
      <c r="F15">
        <v>0</v>
      </c>
      <c r="G15">
        <v>2</v>
      </c>
      <c r="H15">
        <v>0</v>
      </c>
    </row>
    <row r="16" spans="1:8" x14ac:dyDescent="0.25">
      <c r="A16" t="s">
        <v>67</v>
      </c>
      <c r="B16" t="s">
        <v>2</v>
      </c>
      <c r="C16" t="s">
        <v>4</v>
      </c>
      <c r="D16" t="s">
        <v>6</v>
      </c>
      <c r="E16">
        <v>1</v>
      </c>
      <c r="F16">
        <v>1</v>
      </c>
      <c r="G16">
        <v>1</v>
      </c>
      <c r="H16">
        <v>1</v>
      </c>
    </row>
    <row r="17" spans="1:8" x14ac:dyDescent="0.25">
      <c r="A17" t="s">
        <v>67</v>
      </c>
      <c r="B17" t="s">
        <v>10</v>
      </c>
      <c r="C17" t="s">
        <v>11</v>
      </c>
      <c r="D17" t="s">
        <v>20</v>
      </c>
      <c r="E17">
        <v>2</v>
      </c>
      <c r="F17">
        <v>0</v>
      </c>
      <c r="G17">
        <v>2</v>
      </c>
      <c r="H17">
        <v>0</v>
      </c>
    </row>
    <row r="18" spans="1:8" x14ac:dyDescent="0.25">
      <c r="A18" t="s">
        <v>67</v>
      </c>
      <c r="B18" t="s">
        <v>15</v>
      </c>
      <c r="C18" t="s">
        <v>17</v>
      </c>
      <c r="D18" t="s">
        <v>19</v>
      </c>
      <c r="E18">
        <v>1</v>
      </c>
      <c r="F18">
        <v>0</v>
      </c>
      <c r="G18">
        <v>1</v>
      </c>
      <c r="H18">
        <v>0</v>
      </c>
    </row>
    <row r="19" spans="1:8" x14ac:dyDescent="0.25">
      <c r="A19" t="s">
        <v>67</v>
      </c>
      <c r="B19" t="s">
        <v>22</v>
      </c>
      <c r="C19" t="s">
        <v>23</v>
      </c>
      <c r="D19" t="s">
        <v>28</v>
      </c>
      <c r="E19">
        <v>2</v>
      </c>
      <c r="F19">
        <v>1</v>
      </c>
      <c r="G19">
        <v>2</v>
      </c>
      <c r="H19">
        <v>1</v>
      </c>
    </row>
    <row r="20" spans="1:8" x14ac:dyDescent="0.25">
      <c r="A20" t="s">
        <v>67</v>
      </c>
      <c r="B20" t="s">
        <v>42</v>
      </c>
      <c r="C20" t="s">
        <v>43</v>
      </c>
      <c r="D20" t="s">
        <v>45</v>
      </c>
      <c r="E20">
        <v>3</v>
      </c>
      <c r="F20">
        <v>0</v>
      </c>
      <c r="G20">
        <v>3</v>
      </c>
      <c r="H20">
        <v>0</v>
      </c>
    </row>
    <row r="21" spans="1:8" x14ac:dyDescent="0.25">
      <c r="A21" t="s">
        <v>69</v>
      </c>
      <c r="B21" t="s">
        <v>2</v>
      </c>
      <c r="C21" t="s">
        <v>5</v>
      </c>
      <c r="D21" t="s">
        <v>6</v>
      </c>
      <c r="E21">
        <v>2</v>
      </c>
      <c r="F21">
        <v>1</v>
      </c>
      <c r="G21">
        <v>2</v>
      </c>
      <c r="H21">
        <v>1</v>
      </c>
    </row>
    <row r="22" spans="1:8" x14ac:dyDescent="0.25">
      <c r="A22" t="s">
        <v>69</v>
      </c>
      <c r="B22" t="s">
        <v>15</v>
      </c>
      <c r="C22" t="s">
        <v>18</v>
      </c>
      <c r="D22" t="s">
        <v>19</v>
      </c>
      <c r="E22">
        <v>0</v>
      </c>
      <c r="F22">
        <v>1</v>
      </c>
      <c r="G22">
        <v>0</v>
      </c>
      <c r="H22">
        <v>1</v>
      </c>
    </row>
    <row r="23" spans="1:8" x14ac:dyDescent="0.25">
      <c r="A23" t="s">
        <v>69</v>
      </c>
      <c r="B23" t="s">
        <v>25</v>
      </c>
      <c r="C23" t="s">
        <v>26</v>
      </c>
      <c r="D23" t="s">
        <v>27</v>
      </c>
      <c r="E23">
        <v>2</v>
      </c>
      <c r="F23">
        <v>2</v>
      </c>
      <c r="G23">
        <v>2</v>
      </c>
      <c r="H23">
        <v>2</v>
      </c>
    </row>
    <row r="24" spans="1:8" x14ac:dyDescent="0.25">
      <c r="A24" t="s">
        <v>69</v>
      </c>
      <c r="B24" t="s">
        <v>15</v>
      </c>
      <c r="C24" t="s">
        <v>16</v>
      </c>
      <c r="D24" t="s">
        <v>18</v>
      </c>
      <c r="E24">
        <v>3</v>
      </c>
      <c r="F24">
        <v>0</v>
      </c>
      <c r="G24">
        <v>3</v>
      </c>
      <c r="H24">
        <v>0</v>
      </c>
    </row>
    <row r="25" spans="1:8" x14ac:dyDescent="0.25">
      <c r="A25" t="s">
        <v>69</v>
      </c>
      <c r="B25" t="s">
        <v>10</v>
      </c>
      <c r="C25" t="s">
        <v>12</v>
      </c>
      <c r="D25" t="s">
        <v>21</v>
      </c>
      <c r="E25">
        <v>1</v>
      </c>
      <c r="F25">
        <v>0</v>
      </c>
      <c r="G25">
        <v>1</v>
      </c>
      <c r="H25">
        <v>0</v>
      </c>
    </row>
    <row r="26" spans="1:8" x14ac:dyDescent="0.25">
      <c r="A26" t="s">
        <v>69</v>
      </c>
      <c r="B26" t="s">
        <v>55</v>
      </c>
      <c r="C26" t="s">
        <v>57</v>
      </c>
      <c r="D26" t="s">
        <v>59</v>
      </c>
      <c r="E26">
        <v>1</v>
      </c>
      <c r="F26">
        <v>0</v>
      </c>
      <c r="G26">
        <v>1</v>
      </c>
      <c r="H26">
        <v>0</v>
      </c>
    </row>
    <row r="27" spans="1:8" x14ac:dyDescent="0.25">
      <c r="A27" t="s">
        <v>71</v>
      </c>
      <c r="B27" t="s">
        <v>7</v>
      </c>
      <c r="C27" t="s">
        <v>8</v>
      </c>
      <c r="D27" t="s">
        <v>9</v>
      </c>
      <c r="E27">
        <v>1</v>
      </c>
      <c r="F27">
        <v>1</v>
      </c>
      <c r="G27">
        <v>1</v>
      </c>
      <c r="H27">
        <v>1</v>
      </c>
    </row>
    <row r="28" spans="1:8" x14ac:dyDescent="0.25">
      <c r="A28" t="s">
        <v>71</v>
      </c>
      <c r="B28" t="s">
        <v>42</v>
      </c>
      <c r="C28" t="s">
        <v>43</v>
      </c>
      <c r="D28" t="s">
        <v>44</v>
      </c>
      <c r="E28">
        <v>3</v>
      </c>
      <c r="F28">
        <v>1</v>
      </c>
      <c r="G28">
        <v>3</v>
      </c>
      <c r="H28">
        <v>1</v>
      </c>
    </row>
    <row r="29" spans="1:8" x14ac:dyDescent="0.25">
      <c r="A29" t="s">
        <v>71</v>
      </c>
      <c r="B29" t="s">
        <v>47</v>
      </c>
      <c r="C29" t="s">
        <v>48</v>
      </c>
      <c r="D29" t="s">
        <v>50</v>
      </c>
      <c r="E29">
        <v>2</v>
      </c>
      <c r="F29">
        <v>0</v>
      </c>
      <c r="G29">
        <v>2</v>
      </c>
      <c r="H29">
        <v>0</v>
      </c>
    </row>
    <row r="30" spans="1:8" x14ac:dyDescent="0.25">
      <c r="A30" t="s">
        <v>73</v>
      </c>
      <c r="B30" t="s">
        <v>7</v>
      </c>
      <c r="C30" t="s">
        <v>8</v>
      </c>
      <c r="D30" t="s">
        <v>9</v>
      </c>
      <c r="E30">
        <v>1</v>
      </c>
      <c r="F30">
        <v>1</v>
      </c>
      <c r="G30">
        <v>1</v>
      </c>
      <c r="H30">
        <v>1</v>
      </c>
    </row>
    <row r="31" spans="1:8" x14ac:dyDescent="0.25">
      <c r="A31" t="s">
        <v>73</v>
      </c>
      <c r="B31" t="s">
        <v>55</v>
      </c>
      <c r="C31" t="s">
        <v>58</v>
      </c>
      <c r="D31" t="s">
        <v>59</v>
      </c>
      <c r="E31">
        <v>1</v>
      </c>
      <c r="F31">
        <v>0</v>
      </c>
      <c r="G31">
        <v>1</v>
      </c>
      <c r="H31">
        <v>0</v>
      </c>
    </row>
    <row r="32" spans="1:8" x14ac:dyDescent="0.25">
      <c r="A32" t="s">
        <v>73</v>
      </c>
      <c r="B32" t="s">
        <v>10</v>
      </c>
      <c r="C32" t="s">
        <v>11</v>
      </c>
      <c r="D32" t="s">
        <v>20</v>
      </c>
      <c r="E32">
        <v>2</v>
      </c>
      <c r="F32">
        <v>0</v>
      </c>
      <c r="G32">
        <v>2</v>
      </c>
      <c r="H32">
        <v>0</v>
      </c>
    </row>
    <row r="33" spans="1:8" x14ac:dyDescent="0.25">
      <c r="A33" t="s">
        <v>73</v>
      </c>
      <c r="B33" t="s">
        <v>15</v>
      </c>
      <c r="C33" t="s">
        <v>17</v>
      </c>
      <c r="D33" t="s">
        <v>19</v>
      </c>
      <c r="E33">
        <v>1</v>
      </c>
      <c r="F33">
        <v>0</v>
      </c>
      <c r="G33">
        <v>1</v>
      </c>
      <c r="H33">
        <v>0</v>
      </c>
    </row>
    <row r="34" spans="1:8" x14ac:dyDescent="0.25">
      <c r="A34" t="s">
        <v>73</v>
      </c>
      <c r="B34" t="s">
        <v>15</v>
      </c>
      <c r="C34" t="s">
        <v>16</v>
      </c>
      <c r="D34" t="s">
        <v>18</v>
      </c>
      <c r="E34">
        <v>3</v>
      </c>
      <c r="F34">
        <v>0</v>
      </c>
      <c r="G34">
        <v>3</v>
      </c>
      <c r="H34">
        <v>0</v>
      </c>
    </row>
    <row r="35" spans="1:8" x14ac:dyDescent="0.25">
      <c r="A35" t="s">
        <v>75</v>
      </c>
      <c r="B35" t="s">
        <v>2</v>
      </c>
      <c r="C35" t="s">
        <v>3</v>
      </c>
      <c r="D35" t="s">
        <v>4</v>
      </c>
      <c r="E35">
        <v>2</v>
      </c>
      <c r="F35">
        <v>0</v>
      </c>
      <c r="G35">
        <v>2</v>
      </c>
      <c r="H35">
        <v>0</v>
      </c>
    </row>
    <row r="36" spans="1:8" x14ac:dyDescent="0.25">
      <c r="A36" t="s">
        <v>75</v>
      </c>
      <c r="B36" t="s">
        <v>7</v>
      </c>
      <c r="C36" t="s">
        <v>8</v>
      </c>
      <c r="D36" t="s">
        <v>9</v>
      </c>
      <c r="E36">
        <v>1</v>
      </c>
      <c r="F36">
        <v>1</v>
      </c>
      <c r="G36">
        <v>1</v>
      </c>
      <c r="H36">
        <v>1</v>
      </c>
    </row>
    <row r="37" spans="1:8" x14ac:dyDescent="0.25">
      <c r="A37" t="s">
        <v>75</v>
      </c>
      <c r="B37" t="s">
        <v>42</v>
      </c>
      <c r="C37" t="s">
        <v>43</v>
      </c>
      <c r="D37" t="s">
        <v>44</v>
      </c>
      <c r="E37">
        <v>3</v>
      </c>
      <c r="F37">
        <v>1</v>
      </c>
      <c r="G37">
        <v>3</v>
      </c>
      <c r="H37">
        <v>1</v>
      </c>
    </row>
    <row r="38" spans="1:8" x14ac:dyDescent="0.25">
      <c r="A38" t="s">
        <v>75</v>
      </c>
      <c r="B38" t="s">
        <v>15</v>
      </c>
      <c r="C38" t="s">
        <v>16</v>
      </c>
      <c r="D38" t="s">
        <v>18</v>
      </c>
      <c r="E38">
        <v>3</v>
      </c>
      <c r="F38">
        <v>0</v>
      </c>
      <c r="G38">
        <v>3</v>
      </c>
      <c r="H38">
        <v>0</v>
      </c>
    </row>
    <row r="39" spans="1:8" x14ac:dyDescent="0.25">
      <c r="A39" t="s">
        <v>75</v>
      </c>
      <c r="B39" t="s">
        <v>47</v>
      </c>
      <c r="C39" t="s">
        <v>49</v>
      </c>
      <c r="D39" t="s">
        <v>51</v>
      </c>
      <c r="E39">
        <v>2</v>
      </c>
      <c r="F39">
        <v>1</v>
      </c>
      <c r="G39">
        <v>2</v>
      </c>
      <c r="H39">
        <v>1</v>
      </c>
    </row>
    <row r="40" spans="1:8" x14ac:dyDescent="0.25">
      <c r="A40" t="s">
        <v>77</v>
      </c>
      <c r="B40" t="s">
        <v>10</v>
      </c>
      <c r="C40" t="s">
        <v>11</v>
      </c>
      <c r="D40" t="s">
        <v>20</v>
      </c>
      <c r="E40">
        <v>2</v>
      </c>
      <c r="F40">
        <v>0</v>
      </c>
      <c r="G40">
        <v>2</v>
      </c>
      <c r="H40">
        <v>0</v>
      </c>
    </row>
    <row r="41" spans="1:8" x14ac:dyDescent="0.25">
      <c r="A41" t="s">
        <v>77</v>
      </c>
      <c r="B41" t="s">
        <v>15</v>
      </c>
      <c r="C41" t="s">
        <v>16</v>
      </c>
      <c r="D41" t="s">
        <v>18</v>
      </c>
      <c r="E41">
        <v>3</v>
      </c>
      <c r="F41">
        <v>0</v>
      </c>
      <c r="G41">
        <v>3</v>
      </c>
      <c r="H41">
        <v>0</v>
      </c>
    </row>
    <row r="42" spans="1:8" x14ac:dyDescent="0.25">
      <c r="A42" t="s">
        <v>77</v>
      </c>
      <c r="B42" t="s">
        <v>52</v>
      </c>
      <c r="C42" t="s">
        <v>54</v>
      </c>
      <c r="D42" t="s">
        <v>61</v>
      </c>
      <c r="E42">
        <v>0</v>
      </c>
      <c r="F42">
        <v>1</v>
      </c>
      <c r="G42">
        <v>0</v>
      </c>
      <c r="H42">
        <v>1</v>
      </c>
    </row>
    <row r="43" spans="1:8" x14ac:dyDescent="0.25">
      <c r="A43" t="s">
        <v>79</v>
      </c>
      <c r="B43" t="s">
        <v>2</v>
      </c>
      <c r="C43" t="s">
        <v>3</v>
      </c>
      <c r="D43" t="s">
        <v>4</v>
      </c>
      <c r="E43">
        <v>2</v>
      </c>
      <c r="F43">
        <v>0</v>
      </c>
      <c r="G43">
        <v>2</v>
      </c>
      <c r="H43">
        <v>0</v>
      </c>
    </row>
    <row r="44" spans="1:8" x14ac:dyDescent="0.25">
      <c r="A44" t="s">
        <v>79</v>
      </c>
      <c r="B44" t="s">
        <v>7</v>
      </c>
      <c r="C44" t="s">
        <v>8</v>
      </c>
      <c r="D44" t="s">
        <v>9</v>
      </c>
      <c r="E44">
        <v>1</v>
      </c>
      <c r="F44">
        <v>1</v>
      </c>
      <c r="G44">
        <v>1</v>
      </c>
      <c r="H44">
        <v>1</v>
      </c>
    </row>
    <row r="45" spans="1:8" x14ac:dyDescent="0.25">
      <c r="A45" t="s">
        <v>79</v>
      </c>
      <c r="B45" t="s">
        <v>42</v>
      </c>
      <c r="C45" t="s">
        <v>43</v>
      </c>
      <c r="D45" t="s">
        <v>44</v>
      </c>
      <c r="E45">
        <v>3</v>
      </c>
      <c r="F45">
        <v>1</v>
      </c>
      <c r="G45">
        <v>3</v>
      </c>
      <c r="H45">
        <v>1</v>
      </c>
    </row>
    <row r="46" spans="1:8" x14ac:dyDescent="0.25">
      <c r="A46" t="s">
        <v>79</v>
      </c>
      <c r="B46" t="s">
        <v>22</v>
      </c>
      <c r="C46" t="s">
        <v>23</v>
      </c>
      <c r="D46" t="s">
        <v>28</v>
      </c>
      <c r="E46">
        <v>2</v>
      </c>
      <c r="F46">
        <v>1</v>
      </c>
      <c r="G46">
        <v>2</v>
      </c>
      <c r="H46">
        <v>1</v>
      </c>
    </row>
    <row r="47" spans="1:8" x14ac:dyDescent="0.25">
      <c r="A47" t="s">
        <v>79</v>
      </c>
      <c r="B47" t="s">
        <v>42</v>
      </c>
      <c r="C47" t="s">
        <v>43</v>
      </c>
      <c r="D47" t="s">
        <v>45</v>
      </c>
      <c r="E47">
        <v>3</v>
      </c>
      <c r="F47">
        <v>0</v>
      </c>
      <c r="G47">
        <v>3</v>
      </c>
      <c r="H47">
        <v>0</v>
      </c>
    </row>
    <row r="48" spans="1:8" x14ac:dyDescent="0.25">
      <c r="A48" t="s">
        <v>79</v>
      </c>
      <c r="B48" t="s">
        <v>42</v>
      </c>
      <c r="C48" t="s">
        <v>44</v>
      </c>
      <c r="D48" t="s">
        <v>46</v>
      </c>
      <c r="E48">
        <v>2</v>
      </c>
      <c r="F48">
        <v>3</v>
      </c>
      <c r="G48">
        <v>2</v>
      </c>
      <c r="H48">
        <v>3</v>
      </c>
    </row>
    <row r="49" spans="1:8" x14ac:dyDescent="0.25">
      <c r="A49" t="s">
        <v>79</v>
      </c>
      <c r="B49" t="s">
        <v>47</v>
      </c>
      <c r="C49" t="s">
        <v>49</v>
      </c>
      <c r="D49" t="s">
        <v>51</v>
      </c>
      <c r="E49">
        <v>2</v>
      </c>
      <c r="F49">
        <v>1</v>
      </c>
      <c r="G49">
        <v>2</v>
      </c>
      <c r="H4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DB277-51F1-4DD9-A33A-610D38002A75}">
  <dimension ref="A1:H101"/>
  <sheetViews>
    <sheetView topLeftCell="A28" workbookViewId="0">
      <selection activeCell="F2" sqref="F2:G49"/>
    </sheetView>
  </sheetViews>
  <sheetFormatPr baseColWidth="10" defaultRowHeight="15" x14ac:dyDescent="0.25"/>
  <sheetData>
    <row r="1" spans="1:8" x14ac:dyDescent="0.25">
      <c r="A1" t="s">
        <v>547</v>
      </c>
      <c r="B1" t="s">
        <v>518</v>
      </c>
      <c r="C1" t="s">
        <v>548</v>
      </c>
      <c r="D1" t="s">
        <v>549</v>
      </c>
      <c r="E1" t="s">
        <v>550</v>
      </c>
      <c r="F1" t="s">
        <v>551</v>
      </c>
      <c r="G1" t="s">
        <v>552</v>
      </c>
      <c r="H1" t="s">
        <v>553</v>
      </c>
    </row>
    <row r="2" spans="1:8" x14ac:dyDescent="0.25">
      <c r="A2" t="s">
        <v>554</v>
      </c>
      <c r="B2" t="s">
        <v>2</v>
      </c>
      <c r="C2" t="s">
        <v>3</v>
      </c>
      <c r="D2" t="s">
        <v>4</v>
      </c>
      <c r="E2" t="s">
        <v>555</v>
      </c>
      <c r="F2">
        <v>2</v>
      </c>
      <c r="G2">
        <v>0</v>
      </c>
      <c r="H2" t="s">
        <v>556</v>
      </c>
    </row>
    <row r="3" spans="1:8" x14ac:dyDescent="0.25">
      <c r="A3" t="s">
        <v>557</v>
      </c>
      <c r="B3" t="s">
        <v>2</v>
      </c>
      <c r="C3" t="s">
        <v>5</v>
      </c>
      <c r="D3" t="s">
        <v>6</v>
      </c>
      <c r="E3" t="s">
        <v>558</v>
      </c>
      <c r="F3">
        <v>2</v>
      </c>
      <c r="G3">
        <v>1</v>
      </c>
      <c r="H3" t="s">
        <v>556</v>
      </c>
    </row>
    <row r="4" spans="1:8" x14ac:dyDescent="0.25">
      <c r="A4" t="s">
        <v>559</v>
      </c>
      <c r="B4" t="s">
        <v>7</v>
      </c>
      <c r="C4" t="s">
        <v>8</v>
      </c>
      <c r="D4" t="s">
        <v>9</v>
      </c>
      <c r="E4" t="s">
        <v>560</v>
      </c>
      <c r="F4">
        <v>1</v>
      </c>
      <c r="G4">
        <v>1</v>
      </c>
      <c r="H4" t="s">
        <v>556</v>
      </c>
    </row>
    <row r="5" spans="1:8" x14ac:dyDescent="0.25">
      <c r="A5" t="s">
        <v>561</v>
      </c>
      <c r="B5" t="s">
        <v>10</v>
      </c>
      <c r="C5" t="s">
        <v>11</v>
      </c>
      <c r="D5" t="s">
        <v>12</v>
      </c>
      <c r="E5" t="s">
        <v>562</v>
      </c>
      <c r="F5">
        <v>4</v>
      </c>
      <c r="G5">
        <v>1</v>
      </c>
      <c r="H5" t="s">
        <v>556</v>
      </c>
    </row>
    <row r="6" spans="1:8" x14ac:dyDescent="0.25">
      <c r="A6" t="s">
        <v>563</v>
      </c>
      <c r="B6" t="s">
        <v>7</v>
      </c>
      <c r="C6" t="s">
        <v>13</v>
      </c>
      <c r="D6" t="s">
        <v>14</v>
      </c>
      <c r="E6" t="s">
        <v>564</v>
      </c>
      <c r="F6">
        <v>1</v>
      </c>
      <c r="G6">
        <v>1</v>
      </c>
      <c r="H6" t="s">
        <v>556</v>
      </c>
    </row>
    <row r="7" spans="1:8" x14ac:dyDescent="0.25">
      <c r="A7" t="s">
        <v>565</v>
      </c>
      <c r="B7" t="s">
        <v>15</v>
      </c>
      <c r="C7" t="s">
        <v>16</v>
      </c>
      <c r="D7" t="s">
        <v>17</v>
      </c>
      <c r="E7" t="s">
        <v>566</v>
      </c>
      <c r="F7">
        <v>1</v>
      </c>
      <c r="G7">
        <v>1</v>
      </c>
      <c r="H7" t="s">
        <v>556</v>
      </c>
    </row>
    <row r="8" spans="1:8" x14ac:dyDescent="0.25">
      <c r="A8" t="s">
        <v>567</v>
      </c>
      <c r="B8" t="s">
        <v>15</v>
      </c>
      <c r="C8" t="s">
        <v>18</v>
      </c>
      <c r="D8" t="s">
        <v>19</v>
      </c>
      <c r="E8" t="s">
        <v>568</v>
      </c>
      <c r="F8">
        <v>0</v>
      </c>
      <c r="G8">
        <v>1</v>
      </c>
      <c r="H8" t="s">
        <v>556</v>
      </c>
    </row>
    <row r="9" spans="1:8" x14ac:dyDescent="0.25">
      <c r="A9" t="s">
        <v>569</v>
      </c>
      <c r="B9" t="s">
        <v>10</v>
      </c>
      <c r="C9" t="s">
        <v>20</v>
      </c>
      <c r="D9" t="s">
        <v>21</v>
      </c>
      <c r="E9" t="s">
        <v>570</v>
      </c>
      <c r="F9">
        <v>2</v>
      </c>
      <c r="G9">
        <v>0</v>
      </c>
      <c r="H9" t="s">
        <v>556</v>
      </c>
    </row>
    <row r="10" spans="1:8" x14ac:dyDescent="0.25">
      <c r="A10" t="s">
        <v>571</v>
      </c>
      <c r="B10" t="s">
        <v>22</v>
      </c>
      <c r="C10" t="s">
        <v>23</v>
      </c>
      <c r="D10" t="s">
        <v>24</v>
      </c>
      <c r="E10" t="s">
        <v>572</v>
      </c>
      <c r="F10">
        <v>7</v>
      </c>
      <c r="G10">
        <v>1</v>
      </c>
      <c r="H10" t="s">
        <v>556</v>
      </c>
    </row>
    <row r="11" spans="1:8" x14ac:dyDescent="0.25">
      <c r="A11" t="s">
        <v>573</v>
      </c>
      <c r="B11" t="s">
        <v>25</v>
      </c>
      <c r="C11" t="s">
        <v>26</v>
      </c>
      <c r="D11" t="s">
        <v>27</v>
      </c>
      <c r="E11" t="s">
        <v>574</v>
      </c>
      <c r="F11">
        <v>2</v>
      </c>
      <c r="G11">
        <v>2</v>
      </c>
      <c r="H11" t="s">
        <v>556</v>
      </c>
    </row>
    <row r="12" spans="1:8" x14ac:dyDescent="0.25">
      <c r="A12" t="s">
        <v>575</v>
      </c>
      <c r="B12" t="s">
        <v>22</v>
      </c>
      <c r="C12" t="s">
        <v>28</v>
      </c>
      <c r="D12" t="s">
        <v>29</v>
      </c>
      <c r="E12" t="s">
        <v>576</v>
      </c>
      <c r="F12">
        <v>1</v>
      </c>
      <c r="G12">
        <v>0</v>
      </c>
      <c r="H12" t="s">
        <v>556</v>
      </c>
    </row>
    <row r="13" spans="1:8" x14ac:dyDescent="0.25">
      <c r="A13" t="s">
        <v>577</v>
      </c>
      <c r="B13" t="s">
        <v>25</v>
      </c>
      <c r="C13" t="s">
        <v>30</v>
      </c>
      <c r="D13" t="s">
        <v>31</v>
      </c>
      <c r="E13" t="s">
        <v>578</v>
      </c>
      <c r="F13">
        <v>5</v>
      </c>
      <c r="G13">
        <v>1</v>
      </c>
      <c r="H13" t="s">
        <v>556</v>
      </c>
    </row>
    <row r="14" spans="1:8" x14ac:dyDescent="0.25">
      <c r="A14" t="s">
        <v>579</v>
      </c>
      <c r="B14" t="s">
        <v>32</v>
      </c>
      <c r="C14" t="s">
        <v>33</v>
      </c>
      <c r="D14" t="s">
        <v>34</v>
      </c>
      <c r="E14" t="s">
        <v>580</v>
      </c>
      <c r="F14">
        <v>0</v>
      </c>
      <c r="G14">
        <v>0</v>
      </c>
      <c r="H14" t="s">
        <v>556</v>
      </c>
    </row>
    <row r="15" spans="1:8" x14ac:dyDescent="0.25">
      <c r="A15" t="s">
        <v>581</v>
      </c>
      <c r="B15" t="s">
        <v>35</v>
      </c>
      <c r="C15" t="s">
        <v>36</v>
      </c>
      <c r="D15" t="s">
        <v>37</v>
      </c>
      <c r="E15" t="s">
        <v>582</v>
      </c>
      <c r="F15">
        <v>1</v>
      </c>
      <c r="G15">
        <v>1</v>
      </c>
      <c r="H15" t="s">
        <v>556</v>
      </c>
    </row>
    <row r="16" spans="1:8" x14ac:dyDescent="0.25">
      <c r="A16" t="s">
        <v>583</v>
      </c>
      <c r="B16" t="s">
        <v>32</v>
      </c>
      <c r="C16" t="s">
        <v>38</v>
      </c>
      <c r="D16" t="s">
        <v>39</v>
      </c>
      <c r="E16" t="s">
        <v>584</v>
      </c>
      <c r="F16">
        <v>1</v>
      </c>
      <c r="G16">
        <v>1</v>
      </c>
      <c r="H16" t="s">
        <v>556</v>
      </c>
    </row>
    <row r="17" spans="1:8" x14ac:dyDescent="0.25">
      <c r="A17" t="s">
        <v>585</v>
      </c>
      <c r="B17" t="s">
        <v>35</v>
      </c>
      <c r="C17" t="s">
        <v>40</v>
      </c>
      <c r="D17" t="s">
        <v>41</v>
      </c>
      <c r="E17" t="s">
        <v>586</v>
      </c>
      <c r="F17">
        <v>2</v>
      </c>
      <c r="G17">
        <v>2</v>
      </c>
      <c r="H17" t="s">
        <v>556</v>
      </c>
    </row>
    <row r="18" spans="1:8" x14ac:dyDescent="0.25">
      <c r="A18" t="s">
        <v>587</v>
      </c>
      <c r="B18" t="s">
        <v>42</v>
      </c>
      <c r="C18" t="s">
        <v>43</v>
      </c>
      <c r="D18" t="s">
        <v>44</v>
      </c>
      <c r="E18" t="s">
        <v>588</v>
      </c>
      <c r="F18">
        <v>3</v>
      </c>
      <c r="G18">
        <v>1</v>
      </c>
      <c r="H18" t="s">
        <v>556</v>
      </c>
    </row>
    <row r="19" spans="1:8" x14ac:dyDescent="0.25">
      <c r="A19" t="s">
        <v>589</v>
      </c>
      <c r="B19" t="s">
        <v>42</v>
      </c>
      <c r="C19" t="s">
        <v>45</v>
      </c>
      <c r="D19" t="s">
        <v>46</v>
      </c>
      <c r="E19" t="s">
        <v>590</v>
      </c>
      <c r="F19">
        <v>1</v>
      </c>
      <c r="G19">
        <v>4</v>
      </c>
      <c r="H19" t="s">
        <v>556</v>
      </c>
    </row>
    <row r="20" spans="1:8" x14ac:dyDescent="0.25">
      <c r="A20" t="s">
        <v>591</v>
      </c>
      <c r="B20" t="s">
        <v>47</v>
      </c>
      <c r="C20" t="s">
        <v>48</v>
      </c>
      <c r="D20" t="s">
        <v>49</v>
      </c>
      <c r="E20" t="s">
        <v>592</v>
      </c>
      <c r="F20">
        <v>3</v>
      </c>
      <c r="G20">
        <v>0</v>
      </c>
      <c r="H20" t="s">
        <v>556</v>
      </c>
    </row>
    <row r="21" spans="1:8" x14ac:dyDescent="0.25">
      <c r="A21" t="s">
        <v>593</v>
      </c>
      <c r="B21" t="s">
        <v>47</v>
      </c>
      <c r="C21" t="s">
        <v>50</v>
      </c>
      <c r="D21" t="s">
        <v>51</v>
      </c>
      <c r="E21" t="s">
        <v>594</v>
      </c>
      <c r="F21">
        <v>3</v>
      </c>
      <c r="G21">
        <v>1</v>
      </c>
      <c r="H21" t="s">
        <v>556</v>
      </c>
    </row>
    <row r="22" spans="1:8" x14ac:dyDescent="0.25">
      <c r="A22" t="s">
        <v>595</v>
      </c>
      <c r="B22" t="s">
        <v>52</v>
      </c>
      <c r="C22" t="s">
        <v>53</v>
      </c>
      <c r="D22" t="s">
        <v>54</v>
      </c>
      <c r="E22" t="s">
        <v>596</v>
      </c>
      <c r="F22">
        <v>1</v>
      </c>
      <c r="G22">
        <v>1</v>
      </c>
      <c r="H22" t="s">
        <v>556</v>
      </c>
    </row>
    <row r="23" spans="1:8" x14ac:dyDescent="0.25">
      <c r="A23" t="s">
        <v>597</v>
      </c>
      <c r="B23" t="s">
        <v>55</v>
      </c>
      <c r="C23" t="s">
        <v>56</v>
      </c>
      <c r="D23" t="s">
        <v>57</v>
      </c>
      <c r="E23" t="s">
        <v>598</v>
      </c>
      <c r="F23">
        <v>4</v>
      </c>
      <c r="G23">
        <v>2</v>
      </c>
      <c r="H23" t="s">
        <v>556</v>
      </c>
    </row>
    <row r="24" spans="1:8" x14ac:dyDescent="0.25">
      <c r="A24" t="s">
        <v>599</v>
      </c>
      <c r="B24" t="s">
        <v>55</v>
      </c>
      <c r="C24" t="s">
        <v>58</v>
      </c>
      <c r="D24" t="s">
        <v>59</v>
      </c>
      <c r="E24" t="s">
        <v>600</v>
      </c>
      <c r="F24">
        <v>1</v>
      </c>
      <c r="G24">
        <v>0</v>
      </c>
      <c r="H24" t="s">
        <v>556</v>
      </c>
    </row>
    <row r="25" spans="1:8" x14ac:dyDescent="0.25">
      <c r="A25" t="s">
        <v>601</v>
      </c>
      <c r="B25" t="s">
        <v>52</v>
      </c>
      <c r="C25" t="s">
        <v>60</v>
      </c>
      <c r="D25" t="s">
        <v>61</v>
      </c>
      <c r="E25" t="s">
        <v>602</v>
      </c>
      <c r="F25">
        <v>1</v>
      </c>
      <c r="G25">
        <v>3</v>
      </c>
      <c r="H25" t="s">
        <v>556</v>
      </c>
    </row>
    <row r="26" spans="1:8" x14ac:dyDescent="0.25">
      <c r="A26" t="s">
        <v>603</v>
      </c>
      <c r="B26" t="s">
        <v>2</v>
      </c>
      <c r="C26" t="s">
        <v>4</v>
      </c>
      <c r="D26" t="s">
        <v>6</v>
      </c>
      <c r="E26" t="s">
        <v>604</v>
      </c>
      <c r="F26">
        <v>1</v>
      </c>
      <c r="G26">
        <v>1</v>
      </c>
      <c r="H26" t="s">
        <v>556</v>
      </c>
    </row>
    <row r="27" spans="1:8" x14ac:dyDescent="0.25">
      <c r="A27" t="s">
        <v>605</v>
      </c>
      <c r="B27" t="s">
        <v>7</v>
      </c>
      <c r="C27" t="s">
        <v>9</v>
      </c>
      <c r="D27" t="s">
        <v>14</v>
      </c>
      <c r="E27" t="s">
        <v>606</v>
      </c>
      <c r="F27">
        <v>1</v>
      </c>
      <c r="G27">
        <v>4</v>
      </c>
      <c r="H27" t="s">
        <v>556</v>
      </c>
    </row>
    <row r="28" spans="1:8" x14ac:dyDescent="0.25">
      <c r="A28" t="s">
        <v>607</v>
      </c>
      <c r="B28" t="s">
        <v>7</v>
      </c>
      <c r="C28" t="s">
        <v>8</v>
      </c>
      <c r="D28" t="s">
        <v>13</v>
      </c>
      <c r="E28" t="s">
        <v>608</v>
      </c>
      <c r="F28">
        <v>6</v>
      </c>
      <c r="G28">
        <v>0</v>
      </c>
      <c r="H28" t="s">
        <v>556</v>
      </c>
    </row>
    <row r="29" spans="1:8" x14ac:dyDescent="0.25">
      <c r="A29" t="s">
        <v>609</v>
      </c>
      <c r="B29" t="s">
        <v>2</v>
      </c>
      <c r="C29" t="s">
        <v>3</v>
      </c>
      <c r="D29" t="s">
        <v>5</v>
      </c>
      <c r="E29" t="s">
        <v>610</v>
      </c>
      <c r="F29">
        <v>1</v>
      </c>
      <c r="G29">
        <v>0</v>
      </c>
      <c r="H29" t="s">
        <v>556</v>
      </c>
    </row>
    <row r="30" spans="1:8" x14ac:dyDescent="0.25">
      <c r="A30" t="s">
        <v>611</v>
      </c>
      <c r="B30" t="s">
        <v>10</v>
      </c>
      <c r="C30" t="s">
        <v>11</v>
      </c>
      <c r="D30" t="s">
        <v>20</v>
      </c>
      <c r="E30" t="s">
        <v>612</v>
      </c>
      <c r="F30">
        <v>2</v>
      </c>
      <c r="G30">
        <v>0</v>
      </c>
      <c r="H30" t="s">
        <v>556</v>
      </c>
    </row>
    <row r="31" spans="1:8" x14ac:dyDescent="0.25">
      <c r="A31" t="s">
        <v>613</v>
      </c>
      <c r="B31" t="s">
        <v>15</v>
      </c>
      <c r="C31" t="s">
        <v>17</v>
      </c>
      <c r="D31" t="s">
        <v>19</v>
      </c>
      <c r="E31" t="s">
        <v>614</v>
      </c>
      <c r="F31">
        <v>1</v>
      </c>
      <c r="G31">
        <v>0</v>
      </c>
      <c r="H31" t="s">
        <v>556</v>
      </c>
    </row>
    <row r="32" spans="1:8" x14ac:dyDescent="0.25">
      <c r="A32" t="s">
        <v>615</v>
      </c>
      <c r="B32" t="s">
        <v>15</v>
      </c>
      <c r="C32" t="s">
        <v>16</v>
      </c>
      <c r="D32" t="s">
        <v>18</v>
      </c>
      <c r="E32" t="s">
        <v>616</v>
      </c>
      <c r="F32">
        <v>3</v>
      </c>
      <c r="G32">
        <v>0</v>
      </c>
      <c r="H32" t="s">
        <v>556</v>
      </c>
    </row>
    <row r="33" spans="1:8" x14ac:dyDescent="0.25">
      <c r="A33" t="s">
        <v>617</v>
      </c>
      <c r="B33" t="s">
        <v>10</v>
      </c>
      <c r="C33" t="s">
        <v>12</v>
      </c>
      <c r="D33" t="s">
        <v>21</v>
      </c>
      <c r="E33" t="s">
        <v>618</v>
      </c>
      <c r="F33">
        <v>1</v>
      </c>
      <c r="G33">
        <v>0</v>
      </c>
      <c r="H33" t="s">
        <v>556</v>
      </c>
    </row>
    <row r="34" spans="1:8" x14ac:dyDescent="0.25">
      <c r="A34" t="s">
        <v>619</v>
      </c>
      <c r="B34" t="s">
        <v>25</v>
      </c>
      <c r="C34" t="s">
        <v>26</v>
      </c>
      <c r="D34" t="s">
        <v>30</v>
      </c>
      <c r="E34" t="s">
        <v>620</v>
      </c>
      <c r="F34">
        <v>5</v>
      </c>
      <c r="G34">
        <v>1</v>
      </c>
      <c r="H34" t="s">
        <v>556</v>
      </c>
    </row>
    <row r="35" spans="1:8" x14ac:dyDescent="0.25">
      <c r="A35" t="s">
        <v>623</v>
      </c>
      <c r="B35" t="s">
        <v>22</v>
      </c>
      <c r="C35" t="s">
        <v>23</v>
      </c>
      <c r="D35" t="s">
        <v>28</v>
      </c>
      <c r="E35" t="s">
        <v>624</v>
      </c>
      <c r="F35">
        <v>2</v>
      </c>
      <c r="G35">
        <v>1</v>
      </c>
      <c r="H35" t="s">
        <v>556</v>
      </c>
    </row>
    <row r="36" spans="1:8" x14ac:dyDescent="0.25">
      <c r="A36" t="s">
        <v>625</v>
      </c>
      <c r="B36" t="s">
        <v>22</v>
      </c>
      <c r="C36" t="s">
        <v>24</v>
      </c>
      <c r="D36" t="s">
        <v>29</v>
      </c>
      <c r="E36" t="s">
        <v>626</v>
      </c>
      <c r="F36">
        <v>0</v>
      </c>
      <c r="G36">
        <v>0</v>
      </c>
      <c r="H36" t="s">
        <v>556</v>
      </c>
    </row>
    <row r="37" spans="1:8" x14ac:dyDescent="0.25">
      <c r="A37" t="s">
        <v>627</v>
      </c>
      <c r="B37" t="s">
        <v>25</v>
      </c>
      <c r="C37" t="s">
        <v>27</v>
      </c>
      <c r="D37" t="s">
        <v>31</v>
      </c>
      <c r="E37" t="s">
        <v>628</v>
      </c>
      <c r="F37">
        <v>4</v>
      </c>
      <c r="G37">
        <v>0</v>
      </c>
      <c r="H37" t="s">
        <v>556</v>
      </c>
    </row>
    <row r="38" spans="1:8" x14ac:dyDescent="0.25">
      <c r="A38" t="s">
        <v>629</v>
      </c>
      <c r="B38" t="s">
        <v>32</v>
      </c>
      <c r="C38" t="s">
        <v>33</v>
      </c>
      <c r="D38" t="s">
        <v>38</v>
      </c>
      <c r="E38" t="s">
        <v>630</v>
      </c>
      <c r="F38">
        <v>4</v>
      </c>
      <c r="G38">
        <v>0</v>
      </c>
      <c r="H38" t="s">
        <v>622</v>
      </c>
    </row>
    <row r="39" spans="1:8" x14ac:dyDescent="0.25">
      <c r="A39" t="s">
        <v>631</v>
      </c>
      <c r="B39" t="s">
        <v>35</v>
      </c>
      <c r="C39" t="s">
        <v>36</v>
      </c>
      <c r="D39" t="s">
        <v>40</v>
      </c>
      <c r="E39" t="s">
        <v>632</v>
      </c>
      <c r="F39">
        <v>0</v>
      </c>
      <c r="G39">
        <v>0</v>
      </c>
      <c r="H39" t="s">
        <v>556</v>
      </c>
    </row>
    <row r="40" spans="1:8" x14ac:dyDescent="0.25">
      <c r="A40" s="4" t="s">
        <v>633</v>
      </c>
      <c r="B40" t="s">
        <v>32</v>
      </c>
      <c r="C40" t="s">
        <v>34</v>
      </c>
      <c r="D40" t="s">
        <v>39</v>
      </c>
      <c r="E40" t="s">
        <v>634</v>
      </c>
      <c r="F40">
        <v>2</v>
      </c>
      <c r="G40">
        <v>2</v>
      </c>
      <c r="H40" t="s">
        <v>556</v>
      </c>
    </row>
    <row r="41" spans="1:8" x14ac:dyDescent="0.25">
      <c r="A41" t="s">
        <v>635</v>
      </c>
      <c r="B41" t="s">
        <v>35</v>
      </c>
      <c r="C41" t="s">
        <v>37</v>
      </c>
      <c r="D41" t="s">
        <v>41</v>
      </c>
      <c r="E41" t="s">
        <v>636</v>
      </c>
      <c r="F41">
        <v>3</v>
      </c>
      <c r="G41">
        <v>1</v>
      </c>
      <c r="H41" t="s">
        <v>556</v>
      </c>
    </row>
    <row r="42" spans="1:8" x14ac:dyDescent="0.25">
      <c r="A42" s="4" t="s">
        <v>637</v>
      </c>
      <c r="B42" t="s">
        <v>47</v>
      </c>
      <c r="C42" t="s">
        <v>48</v>
      </c>
      <c r="D42" t="s">
        <v>50</v>
      </c>
      <c r="E42" t="s">
        <v>638</v>
      </c>
      <c r="F42">
        <v>2</v>
      </c>
      <c r="G42">
        <v>0</v>
      </c>
      <c r="H42" t="s">
        <v>556</v>
      </c>
    </row>
    <row r="43" spans="1:8" x14ac:dyDescent="0.25">
      <c r="A43" t="s">
        <v>639</v>
      </c>
      <c r="B43" t="s">
        <v>42</v>
      </c>
      <c r="C43" t="s">
        <v>43</v>
      </c>
      <c r="D43" t="s">
        <v>45</v>
      </c>
      <c r="E43" t="s">
        <v>640</v>
      </c>
      <c r="F43">
        <v>3</v>
      </c>
      <c r="G43">
        <v>0</v>
      </c>
      <c r="H43" t="s">
        <v>556</v>
      </c>
    </row>
    <row r="44" spans="1:8" x14ac:dyDescent="0.25">
      <c r="A44" t="s">
        <v>641</v>
      </c>
      <c r="B44" t="s">
        <v>42</v>
      </c>
      <c r="C44" t="s">
        <v>44</v>
      </c>
      <c r="D44" t="s">
        <v>46</v>
      </c>
      <c r="E44" t="s">
        <v>642</v>
      </c>
      <c r="F44">
        <v>2</v>
      </c>
      <c r="G44">
        <v>3</v>
      </c>
      <c r="H44" t="s">
        <v>556</v>
      </c>
    </row>
    <row r="45" spans="1:8" x14ac:dyDescent="0.25">
      <c r="A45" t="s">
        <v>643</v>
      </c>
      <c r="B45" t="s">
        <v>47</v>
      </c>
      <c r="C45" t="s">
        <v>49</v>
      </c>
      <c r="D45" t="s">
        <v>51</v>
      </c>
      <c r="E45" t="s">
        <v>644</v>
      </c>
      <c r="F45">
        <v>2</v>
      </c>
      <c r="G45">
        <v>1</v>
      </c>
      <c r="H45" t="s">
        <v>556</v>
      </c>
    </row>
    <row r="46" spans="1:8" x14ac:dyDescent="0.25">
      <c r="A46" t="s">
        <v>645</v>
      </c>
      <c r="B46" t="s">
        <v>52</v>
      </c>
      <c r="C46" t="s">
        <v>53</v>
      </c>
      <c r="D46" t="s">
        <v>60</v>
      </c>
      <c r="E46" t="s">
        <v>646</v>
      </c>
      <c r="F46">
        <v>5</v>
      </c>
      <c r="G46">
        <v>0</v>
      </c>
      <c r="H46" t="s">
        <v>556</v>
      </c>
    </row>
    <row r="47" spans="1:8" x14ac:dyDescent="0.25">
      <c r="A47" t="s">
        <v>647</v>
      </c>
      <c r="B47" t="s">
        <v>55</v>
      </c>
      <c r="C47" t="s">
        <v>56</v>
      </c>
      <c r="D47" t="s">
        <v>58</v>
      </c>
      <c r="E47" t="s">
        <v>648</v>
      </c>
      <c r="F47">
        <v>0</v>
      </c>
      <c r="G47">
        <v>0</v>
      </c>
      <c r="H47" t="s">
        <v>556</v>
      </c>
    </row>
    <row r="48" spans="1:8" x14ac:dyDescent="0.25">
      <c r="A48" t="s">
        <v>649</v>
      </c>
      <c r="B48" t="s">
        <v>55</v>
      </c>
      <c r="C48" t="s">
        <v>57</v>
      </c>
      <c r="D48" t="s">
        <v>59</v>
      </c>
      <c r="E48" t="s">
        <v>650</v>
      </c>
      <c r="F48">
        <v>1</v>
      </c>
      <c r="G48">
        <v>0</v>
      </c>
      <c r="H48" t="s">
        <v>556</v>
      </c>
    </row>
    <row r="49" spans="1:8" x14ac:dyDescent="0.25">
      <c r="A49" t="s">
        <v>651</v>
      </c>
      <c r="B49" t="s">
        <v>52</v>
      </c>
      <c r="C49" t="s">
        <v>54</v>
      </c>
      <c r="D49" t="s">
        <v>61</v>
      </c>
      <c r="E49" t="s">
        <v>652</v>
      </c>
      <c r="F49">
        <v>0</v>
      </c>
      <c r="G49">
        <v>1</v>
      </c>
      <c r="H49" t="s">
        <v>556</v>
      </c>
    </row>
    <row r="50" spans="1:8" x14ac:dyDescent="0.25">
      <c r="A50" t="s">
        <v>655</v>
      </c>
      <c r="B50" t="s">
        <v>7</v>
      </c>
      <c r="C50" t="s">
        <v>9</v>
      </c>
      <c r="D50" t="s">
        <v>13</v>
      </c>
      <c r="E50" t="s">
        <v>654</v>
      </c>
      <c r="F50" t="s">
        <v>621</v>
      </c>
      <c r="G50" t="s">
        <v>621</v>
      </c>
      <c r="H50" t="s">
        <v>622</v>
      </c>
    </row>
    <row r="51" spans="1:8" x14ac:dyDescent="0.25">
      <c r="A51" t="s">
        <v>653</v>
      </c>
      <c r="B51" t="s">
        <v>7</v>
      </c>
      <c r="C51" t="s">
        <v>14</v>
      </c>
      <c r="D51" t="s">
        <v>8</v>
      </c>
      <c r="E51" t="s">
        <v>654</v>
      </c>
      <c r="F51" t="s">
        <v>621</v>
      </c>
      <c r="G51" t="s">
        <v>621</v>
      </c>
      <c r="H51" t="s">
        <v>622</v>
      </c>
    </row>
    <row r="52" spans="1:8" x14ac:dyDescent="0.25">
      <c r="A52" t="s">
        <v>656</v>
      </c>
      <c r="B52" t="s">
        <v>15</v>
      </c>
      <c r="C52" t="s">
        <v>19</v>
      </c>
      <c r="D52" t="s">
        <v>16</v>
      </c>
      <c r="E52" t="s">
        <v>657</v>
      </c>
      <c r="F52" t="s">
        <v>621</v>
      </c>
      <c r="G52" t="s">
        <v>621</v>
      </c>
      <c r="H52" t="s">
        <v>622</v>
      </c>
    </row>
    <row r="53" spans="1:8" x14ac:dyDescent="0.25">
      <c r="A53" t="s">
        <v>658</v>
      </c>
      <c r="B53" t="s">
        <v>15</v>
      </c>
      <c r="C53" t="s">
        <v>17</v>
      </c>
      <c r="D53" t="s">
        <v>18</v>
      </c>
      <c r="E53" t="s">
        <v>657</v>
      </c>
      <c r="F53" t="s">
        <v>621</v>
      </c>
      <c r="G53" t="s">
        <v>621</v>
      </c>
      <c r="H53" t="s">
        <v>622</v>
      </c>
    </row>
    <row r="54" spans="1:8" x14ac:dyDescent="0.25">
      <c r="A54" t="s">
        <v>659</v>
      </c>
      <c r="B54" t="s">
        <v>2</v>
      </c>
      <c r="C54" t="s">
        <v>5</v>
      </c>
      <c r="D54" t="s">
        <v>4</v>
      </c>
      <c r="E54" t="s">
        <v>660</v>
      </c>
      <c r="F54" t="s">
        <v>621</v>
      </c>
      <c r="G54" t="s">
        <v>621</v>
      </c>
      <c r="H54" t="s">
        <v>622</v>
      </c>
    </row>
    <row r="55" spans="1:8" x14ac:dyDescent="0.25">
      <c r="A55" t="s">
        <v>661</v>
      </c>
      <c r="B55" t="s">
        <v>2</v>
      </c>
      <c r="C55" t="s">
        <v>6</v>
      </c>
      <c r="D55" t="s">
        <v>3</v>
      </c>
      <c r="E55" t="s">
        <v>660</v>
      </c>
      <c r="F55" t="s">
        <v>621</v>
      </c>
      <c r="G55" t="s">
        <v>621</v>
      </c>
      <c r="H55" t="s">
        <v>622</v>
      </c>
    </row>
    <row r="56" spans="1:8" x14ac:dyDescent="0.25">
      <c r="A56" t="s">
        <v>664</v>
      </c>
      <c r="B56" t="s">
        <v>22</v>
      </c>
      <c r="C56" t="s">
        <v>24</v>
      </c>
      <c r="D56" t="s">
        <v>28</v>
      </c>
      <c r="E56" t="s">
        <v>663</v>
      </c>
      <c r="F56" t="s">
        <v>621</v>
      </c>
      <c r="G56" t="s">
        <v>621</v>
      </c>
      <c r="H56" t="s">
        <v>622</v>
      </c>
    </row>
    <row r="57" spans="1:8" x14ac:dyDescent="0.25">
      <c r="A57" t="s">
        <v>662</v>
      </c>
      <c r="B57" t="s">
        <v>22</v>
      </c>
      <c r="C57" t="s">
        <v>29</v>
      </c>
      <c r="D57" t="s">
        <v>23</v>
      </c>
      <c r="E57" t="s">
        <v>663</v>
      </c>
      <c r="F57" t="s">
        <v>621</v>
      </c>
      <c r="G57" t="s">
        <v>621</v>
      </c>
      <c r="H57" t="s">
        <v>622</v>
      </c>
    </row>
    <row r="58" spans="1:8" x14ac:dyDescent="0.25">
      <c r="A58" t="s">
        <v>667</v>
      </c>
      <c r="B58" t="s">
        <v>25</v>
      </c>
      <c r="C58" t="s">
        <v>31</v>
      </c>
      <c r="D58" t="s">
        <v>26</v>
      </c>
      <c r="E58" t="s">
        <v>666</v>
      </c>
      <c r="F58" t="s">
        <v>621</v>
      </c>
      <c r="G58" t="s">
        <v>621</v>
      </c>
      <c r="H58" t="s">
        <v>622</v>
      </c>
    </row>
    <row r="59" spans="1:8" x14ac:dyDescent="0.25">
      <c r="A59" t="s">
        <v>665</v>
      </c>
      <c r="B59" t="s">
        <v>25</v>
      </c>
      <c r="C59" t="s">
        <v>27</v>
      </c>
      <c r="D59" t="s">
        <v>30</v>
      </c>
      <c r="E59" t="s">
        <v>666</v>
      </c>
      <c r="F59" t="s">
        <v>621</v>
      </c>
      <c r="G59" t="s">
        <v>621</v>
      </c>
      <c r="H59" t="s">
        <v>622</v>
      </c>
    </row>
    <row r="60" spans="1:8" x14ac:dyDescent="0.25">
      <c r="A60" t="s">
        <v>670</v>
      </c>
      <c r="B60" t="s">
        <v>10</v>
      </c>
      <c r="C60" t="s">
        <v>12</v>
      </c>
      <c r="D60" t="s">
        <v>20</v>
      </c>
      <c r="E60" t="s">
        <v>669</v>
      </c>
      <c r="F60" t="s">
        <v>621</v>
      </c>
      <c r="G60" t="s">
        <v>621</v>
      </c>
      <c r="H60" t="s">
        <v>622</v>
      </c>
    </row>
    <row r="61" spans="1:8" x14ac:dyDescent="0.25">
      <c r="A61" t="s">
        <v>668</v>
      </c>
      <c r="B61" t="s">
        <v>10</v>
      </c>
      <c r="C61" t="s">
        <v>21</v>
      </c>
      <c r="D61" t="s">
        <v>11</v>
      </c>
      <c r="E61" t="s">
        <v>669</v>
      </c>
      <c r="F61" t="s">
        <v>621</v>
      </c>
      <c r="G61" t="s">
        <v>621</v>
      </c>
      <c r="H61" t="s">
        <v>622</v>
      </c>
    </row>
    <row r="62" spans="1:8" x14ac:dyDescent="0.25">
      <c r="A62" t="s">
        <v>673</v>
      </c>
      <c r="B62" t="s">
        <v>42</v>
      </c>
      <c r="C62" t="s">
        <v>44</v>
      </c>
      <c r="D62" t="s">
        <v>45</v>
      </c>
      <c r="E62" t="s">
        <v>672</v>
      </c>
      <c r="F62" t="s">
        <v>621</v>
      </c>
      <c r="G62" t="s">
        <v>621</v>
      </c>
      <c r="H62" t="s">
        <v>622</v>
      </c>
    </row>
    <row r="63" spans="1:8" x14ac:dyDescent="0.25">
      <c r="A63" t="s">
        <v>671</v>
      </c>
      <c r="B63" t="s">
        <v>42</v>
      </c>
      <c r="C63" t="s">
        <v>46</v>
      </c>
      <c r="D63" t="s">
        <v>43</v>
      </c>
      <c r="E63" t="s">
        <v>672</v>
      </c>
      <c r="F63" t="s">
        <v>621</v>
      </c>
      <c r="G63" t="s">
        <v>621</v>
      </c>
      <c r="H63" t="s">
        <v>622</v>
      </c>
    </row>
    <row r="64" spans="1:8" x14ac:dyDescent="0.25">
      <c r="A64" t="s">
        <v>674</v>
      </c>
      <c r="B64" t="s">
        <v>32</v>
      </c>
      <c r="C64" t="s">
        <v>39</v>
      </c>
      <c r="D64" t="s">
        <v>33</v>
      </c>
      <c r="E64" t="s">
        <v>675</v>
      </c>
      <c r="F64" t="s">
        <v>621</v>
      </c>
      <c r="G64" t="s">
        <v>621</v>
      </c>
      <c r="H64" t="s">
        <v>622</v>
      </c>
    </row>
    <row r="65" spans="1:8" x14ac:dyDescent="0.25">
      <c r="A65" t="s">
        <v>676</v>
      </c>
      <c r="B65" t="s">
        <v>32</v>
      </c>
      <c r="C65" t="s">
        <v>34</v>
      </c>
      <c r="D65" t="s">
        <v>38</v>
      </c>
      <c r="E65" t="s">
        <v>675</v>
      </c>
      <c r="F65" t="s">
        <v>621</v>
      </c>
      <c r="G65" t="s">
        <v>621</v>
      </c>
      <c r="H65" t="s">
        <v>622</v>
      </c>
    </row>
    <row r="66" spans="1:8" x14ac:dyDescent="0.25">
      <c r="A66" t="s">
        <v>679</v>
      </c>
      <c r="B66" t="s">
        <v>35</v>
      </c>
      <c r="C66" t="s">
        <v>41</v>
      </c>
      <c r="D66" t="s">
        <v>36</v>
      </c>
      <c r="E66" t="s">
        <v>678</v>
      </c>
      <c r="F66" t="s">
        <v>621</v>
      </c>
      <c r="G66" t="s">
        <v>621</v>
      </c>
      <c r="H66" t="s">
        <v>622</v>
      </c>
    </row>
    <row r="67" spans="1:8" x14ac:dyDescent="0.25">
      <c r="A67" t="s">
        <v>677</v>
      </c>
      <c r="B67" t="s">
        <v>35</v>
      </c>
      <c r="C67" t="s">
        <v>37</v>
      </c>
      <c r="D67" t="s">
        <v>40</v>
      </c>
      <c r="E67" t="s">
        <v>678</v>
      </c>
      <c r="F67" t="s">
        <v>621</v>
      </c>
      <c r="G67" t="s">
        <v>621</v>
      </c>
      <c r="H67" t="s">
        <v>622</v>
      </c>
    </row>
    <row r="68" spans="1:8" x14ac:dyDescent="0.25">
      <c r="A68" t="s">
        <v>682</v>
      </c>
      <c r="B68" t="s">
        <v>55</v>
      </c>
      <c r="C68" t="s">
        <v>57</v>
      </c>
      <c r="D68" t="s">
        <v>58</v>
      </c>
      <c r="E68" t="s">
        <v>681</v>
      </c>
      <c r="F68" t="s">
        <v>621</v>
      </c>
      <c r="G68" t="s">
        <v>621</v>
      </c>
      <c r="H68" t="s">
        <v>622</v>
      </c>
    </row>
    <row r="69" spans="1:8" x14ac:dyDescent="0.25">
      <c r="A69" t="s">
        <v>680</v>
      </c>
      <c r="B69" t="s">
        <v>55</v>
      </c>
      <c r="C69" t="s">
        <v>59</v>
      </c>
      <c r="D69" t="s">
        <v>56</v>
      </c>
      <c r="E69" t="s">
        <v>681</v>
      </c>
      <c r="F69" t="s">
        <v>621</v>
      </c>
      <c r="G69" t="s">
        <v>621</v>
      </c>
      <c r="H69" t="s">
        <v>622</v>
      </c>
    </row>
    <row r="70" spans="1:8" x14ac:dyDescent="0.25">
      <c r="A70" t="s">
        <v>685</v>
      </c>
      <c r="B70" t="s">
        <v>52</v>
      </c>
      <c r="C70" t="s">
        <v>61</v>
      </c>
      <c r="D70" t="s">
        <v>53</v>
      </c>
      <c r="E70" t="s">
        <v>684</v>
      </c>
      <c r="F70" t="s">
        <v>621</v>
      </c>
      <c r="G70" t="s">
        <v>621</v>
      </c>
      <c r="H70" t="s">
        <v>622</v>
      </c>
    </row>
    <row r="71" spans="1:8" x14ac:dyDescent="0.25">
      <c r="A71" t="s">
        <v>683</v>
      </c>
      <c r="B71" t="s">
        <v>52</v>
      </c>
      <c r="C71" t="s">
        <v>54</v>
      </c>
      <c r="D71" t="s">
        <v>60</v>
      </c>
      <c r="E71" t="s">
        <v>684</v>
      </c>
      <c r="F71" t="s">
        <v>621</v>
      </c>
      <c r="G71" t="s">
        <v>621</v>
      </c>
      <c r="H71" t="s">
        <v>622</v>
      </c>
    </row>
    <row r="72" spans="1:8" x14ac:dyDescent="0.25">
      <c r="A72" s="4" t="s">
        <v>688</v>
      </c>
      <c r="B72" t="s">
        <v>47</v>
      </c>
      <c r="C72" t="s">
        <v>51</v>
      </c>
      <c r="D72" t="s">
        <v>48</v>
      </c>
      <c r="E72" t="s">
        <v>687</v>
      </c>
      <c r="F72" t="s">
        <v>621</v>
      </c>
      <c r="G72" t="s">
        <v>621</v>
      </c>
      <c r="H72" t="s">
        <v>622</v>
      </c>
    </row>
    <row r="73" spans="1:8" x14ac:dyDescent="0.25">
      <c r="A73" t="s">
        <v>686</v>
      </c>
      <c r="B73" t="s">
        <v>47</v>
      </c>
      <c r="C73" t="s">
        <v>49</v>
      </c>
      <c r="D73" t="s">
        <v>50</v>
      </c>
      <c r="E73" t="s">
        <v>687</v>
      </c>
      <c r="F73" t="s">
        <v>621</v>
      </c>
      <c r="G73" t="s">
        <v>621</v>
      </c>
      <c r="H73" t="s">
        <v>622</v>
      </c>
    </row>
    <row r="74" spans="1:8" x14ac:dyDescent="0.25">
      <c r="A74" t="s">
        <v>689</v>
      </c>
      <c r="B74" t="s">
        <v>690</v>
      </c>
      <c r="E74" t="s">
        <v>691</v>
      </c>
      <c r="F74" t="s">
        <v>621</v>
      </c>
      <c r="G74" t="s">
        <v>621</v>
      </c>
      <c r="H74" t="s">
        <v>622</v>
      </c>
    </row>
    <row r="75" spans="1:8" x14ac:dyDescent="0.25">
      <c r="A75" s="4" t="s">
        <v>692</v>
      </c>
      <c r="B75" t="s">
        <v>690</v>
      </c>
      <c r="E75" t="s">
        <v>693</v>
      </c>
      <c r="F75" t="s">
        <v>621</v>
      </c>
      <c r="G75" t="s">
        <v>621</v>
      </c>
      <c r="H75" t="s">
        <v>622</v>
      </c>
    </row>
    <row r="76" spans="1:8" x14ac:dyDescent="0.25">
      <c r="A76" t="s">
        <v>694</v>
      </c>
      <c r="B76" t="s">
        <v>690</v>
      </c>
      <c r="E76" t="s">
        <v>695</v>
      </c>
      <c r="F76" t="s">
        <v>621</v>
      </c>
      <c r="G76" t="s">
        <v>621</v>
      </c>
      <c r="H76" t="s">
        <v>622</v>
      </c>
    </row>
    <row r="77" spans="1:8" x14ac:dyDescent="0.25">
      <c r="A77" t="s">
        <v>696</v>
      </c>
      <c r="B77" t="s">
        <v>690</v>
      </c>
      <c r="E77" t="s">
        <v>697</v>
      </c>
      <c r="F77" t="s">
        <v>621</v>
      </c>
      <c r="G77" t="s">
        <v>621</v>
      </c>
      <c r="H77" t="s">
        <v>622</v>
      </c>
    </row>
    <row r="78" spans="1:8" x14ac:dyDescent="0.25">
      <c r="A78" t="s">
        <v>698</v>
      </c>
      <c r="B78" t="s">
        <v>690</v>
      </c>
      <c r="E78" t="s">
        <v>699</v>
      </c>
      <c r="F78" t="s">
        <v>621</v>
      </c>
      <c r="G78" t="s">
        <v>621</v>
      </c>
      <c r="H78" t="s">
        <v>622</v>
      </c>
    </row>
    <row r="79" spans="1:8" x14ac:dyDescent="0.25">
      <c r="A79" t="s">
        <v>700</v>
      </c>
      <c r="B79" t="s">
        <v>690</v>
      </c>
      <c r="E79" t="s">
        <v>701</v>
      </c>
      <c r="F79" t="s">
        <v>621</v>
      </c>
      <c r="G79" t="s">
        <v>621</v>
      </c>
      <c r="H79" t="s">
        <v>622</v>
      </c>
    </row>
    <row r="80" spans="1:8" x14ac:dyDescent="0.25">
      <c r="A80" t="s">
        <v>702</v>
      </c>
      <c r="B80" t="s">
        <v>690</v>
      </c>
      <c r="E80" t="s">
        <v>703</v>
      </c>
      <c r="F80" t="s">
        <v>621</v>
      </c>
      <c r="G80" t="s">
        <v>621</v>
      </c>
      <c r="H80" t="s">
        <v>622</v>
      </c>
    </row>
    <row r="81" spans="1:8" x14ac:dyDescent="0.25">
      <c r="A81" t="s">
        <v>704</v>
      </c>
      <c r="B81" t="s">
        <v>690</v>
      </c>
      <c r="E81" t="s">
        <v>705</v>
      </c>
      <c r="F81" t="s">
        <v>621</v>
      </c>
      <c r="G81" t="s">
        <v>621</v>
      </c>
      <c r="H81" t="s">
        <v>622</v>
      </c>
    </row>
    <row r="82" spans="1:8" x14ac:dyDescent="0.25">
      <c r="A82" t="s">
        <v>706</v>
      </c>
      <c r="B82" t="s">
        <v>690</v>
      </c>
      <c r="E82" t="s">
        <v>707</v>
      </c>
      <c r="F82" t="s">
        <v>621</v>
      </c>
      <c r="G82" t="s">
        <v>621</v>
      </c>
      <c r="H82" t="s">
        <v>622</v>
      </c>
    </row>
    <row r="83" spans="1:8" x14ac:dyDescent="0.25">
      <c r="A83" t="s">
        <v>708</v>
      </c>
      <c r="B83" t="s">
        <v>690</v>
      </c>
      <c r="E83" t="s">
        <v>709</v>
      </c>
      <c r="F83" t="s">
        <v>621</v>
      </c>
      <c r="G83" t="s">
        <v>621</v>
      </c>
      <c r="H83" t="s">
        <v>622</v>
      </c>
    </row>
    <row r="84" spans="1:8" x14ac:dyDescent="0.25">
      <c r="A84" t="s">
        <v>710</v>
      </c>
      <c r="B84" t="s">
        <v>690</v>
      </c>
      <c r="E84" t="s">
        <v>711</v>
      </c>
      <c r="F84" t="s">
        <v>621</v>
      </c>
      <c r="G84" t="s">
        <v>621</v>
      </c>
      <c r="H84" t="s">
        <v>622</v>
      </c>
    </row>
    <row r="85" spans="1:8" x14ac:dyDescent="0.25">
      <c r="A85" t="s">
        <v>712</v>
      </c>
      <c r="B85" t="s">
        <v>690</v>
      </c>
      <c r="E85" t="s">
        <v>713</v>
      </c>
      <c r="F85" t="s">
        <v>621</v>
      </c>
      <c r="G85" t="s">
        <v>621</v>
      </c>
      <c r="H85" t="s">
        <v>622</v>
      </c>
    </row>
    <row r="86" spans="1:8" x14ac:dyDescent="0.25">
      <c r="A86" t="s">
        <v>714</v>
      </c>
      <c r="B86" t="s">
        <v>690</v>
      </c>
      <c r="E86" t="s">
        <v>715</v>
      </c>
      <c r="F86" t="s">
        <v>621</v>
      </c>
      <c r="G86" t="s">
        <v>621</v>
      </c>
      <c r="H86" t="s">
        <v>622</v>
      </c>
    </row>
    <row r="87" spans="1:8" x14ac:dyDescent="0.25">
      <c r="A87" t="s">
        <v>716</v>
      </c>
      <c r="B87" t="s">
        <v>690</v>
      </c>
      <c r="E87" t="s">
        <v>717</v>
      </c>
      <c r="F87" t="s">
        <v>621</v>
      </c>
      <c r="G87" t="s">
        <v>621</v>
      </c>
      <c r="H87" t="s">
        <v>622</v>
      </c>
    </row>
    <row r="88" spans="1:8" x14ac:dyDescent="0.25">
      <c r="A88" t="s">
        <v>718</v>
      </c>
      <c r="B88" t="s">
        <v>690</v>
      </c>
      <c r="E88" t="s">
        <v>719</v>
      </c>
      <c r="F88" t="s">
        <v>621</v>
      </c>
      <c r="G88" t="s">
        <v>621</v>
      </c>
      <c r="H88" t="s">
        <v>622</v>
      </c>
    </row>
    <row r="89" spans="1:8" x14ac:dyDescent="0.25">
      <c r="A89" t="s">
        <v>720</v>
      </c>
      <c r="B89" t="s">
        <v>690</v>
      </c>
      <c r="E89" t="s">
        <v>721</v>
      </c>
      <c r="F89" t="s">
        <v>621</v>
      </c>
      <c r="G89" t="s">
        <v>621</v>
      </c>
      <c r="H89" t="s">
        <v>622</v>
      </c>
    </row>
    <row r="90" spans="1:8" x14ac:dyDescent="0.25">
      <c r="A90" t="s">
        <v>722</v>
      </c>
      <c r="B90" t="s">
        <v>723</v>
      </c>
      <c r="E90" t="s">
        <v>724</v>
      </c>
      <c r="F90" t="s">
        <v>621</v>
      </c>
      <c r="G90" t="s">
        <v>621</v>
      </c>
      <c r="H90" t="s">
        <v>622</v>
      </c>
    </row>
    <row r="91" spans="1:8" x14ac:dyDescent="0.25">
      <c r="A91" t="s">
        <v>725</v>
      </c>
      <c r="B91" t="s">
        <v>723</v>
      </c>
      <c r="E91" t="s">
        <v>726</v>
      </c>
      <c r="F91" t="s">
        <v>621</v>
      </c>
      <c r="G91" t="s">
        <v>621</v>
      </c>
      <c r="H91" t="s">
        <v>622</v>
      </c>
    </row>
    <row r="92" spans="1:8" x14ac:dyDescent="0.25">
      <c r="A92" t="s">
        <v>727</v>
      </c>
      <c r="B92" t="s">
        <v>723</v>
      </c>
      <c r="E92" t="s">
        <v>728</v>
      </c>
      <c r="F92" t="s">
        <v>621</v>
      </c>
      <c r="G92" t="s">
        <v>621</v>
      </c>
      <c r="H92" t="s">
        <v>622</v>
      </c>
    </row>
    <row r="93" spans="1:8" x14ac:dyDescent="0.25">
      <c r="A93" t="s">
        <v>729</v>
      </c>
      <c r="B93" t="s">
        <v>723</v>
      </c>
      <c r="E93" t="s">
        <v>730</v>
      </c>
      <c r="F93" t="s">
        <v>621</v>
      </c>
      <c r="G93" t="s">
        <v>621</v>
      </c>
      <c r="H93" t="s">
        <v>622</v>
      </c>
    </row>
    <row r="94" spans="1:8" x14ac:dyDescent="0.25">
      <c r="A94" t="s">
        <v>731</v>
      </c>
      <c r="B94" t="s">
        <v>723</v>
      </c>
      <c r="E94" t="s">
        <v>732</v>
      </c>
      <c r="F94" t="s">
        <v>621</v>
      </c>
      <c r="G94" t="s">
        <v>621</v>
      </c>
      <c r="H94" t="s">
        <v>622</v>
      </c>
    </row>
    <row r="95" spans="1:8" x14ac:dyDescent="0.25">
      <c r="A95" t="s">
        <v>733</v>
      </c>
      <c r="B95" t="s">
        <v>723</v>
      </c>
      <c r="E95" t="s">
        <v>734</v>
      </c>
      <c r="F95" t="s">
        <v>621</v>
      </c>
      <c r="G95" t="s">
        <v>621</v>
      </c>
      <c r="H95" t="s">
        <v>622</v>
      </c>
    </row>
    <row r="96" spans="1:8" x14ac:dyDescent="0.25">
      <c r="A96" t="s">
        <v>735</v>
      </c>
      <c r="B96" t="s">
        <v>723</v>
      </c>
      <c r="E96" t="s">
        <v>736</v>
      </c>
      <c r="F96" t="s">
        <v>621</v>
      </c>
      <c r="G96" t="s">
        <v>621</v>
      </c>
      <c r="H96" t="s">
        <v>622</v>
      </c>
    </row>
    <row r="97" spans="1:8" x14ac:dyDescent="0.25">
      <c r="A97" t="s">
        <v>737</v>
      </c>
      <c r="B97" t="s">
        <v>723</v>
      </c>
      <c r="E97" t="s">
        <v>738</v>
      </c>
      <c r="F97" t="s">
        <v>621</v>
      </c>
      <c r="G97" t="s">
        <v>621</v>
      </c>
      <c r="H97" t="s">
        <v>622</v>
      </c>
    </row>
    <row r="98" spans="1:8" x14ac:dyDescent="0.25">
      <c r="A98" t="s">
        <v>739</v>
      </c>
      <c r="B98" t="s">
        <v>740</v>
      </c>
      <c r="E98" t="s">
        <v>741</v>
      </c>
      <c r="F98" t="s">
        <v>621</v>
      </c>
      <c r="G98" t="s">
        <v>621</v>
      </c>
      <c r="H98" t="s">
        <v>622</v>
      </c>
    </row>
    <row r="99" spans="1:8" x14ac:dyDescent="0.25">
      <c r="A99" t="s">
        <v>742</v>
      </c>
      <c r="B99" t="s">
        <v>740</v>
      </c>
      <c r="E99" t="s">
        <v>743</v>
      </c>
      <c r="F99" t="s">
        <v>621</v>
      </c>
      <c r="G99" t="s">
        <v>621</v>
      </c>
      <c r="H99" t="s">
        <v>622</v>
      </c>
    </row>
    <row r="100" spans="1:8" x14ac:dyDescent="0.25">
      <c r="A100" t="s">
        <v>744</v>
      </c>
      <c r="B100" t="s">
        <v>740</v>
      </c>
      <c r="E100" t="s">
        <v>745</v>
      </c>
      <c r="F100" t="s">
        <v>621</v>
      </c>
      <c r="G100" t="s">
        <v>621</v>
      </c>
      <c r="H100" t="s">
        <v>622</v>
      </c>
    </row>
    <row r="101" spans="1:8" x14ac:dyDescent="0.25">
      <c r="A101" t="s">
        <v>746</v>
      </c>
      <c r="B101" t="s">
        <v>740</v>
      </c>
      <c r="E101" t="s">
        <v>747</v>
      </c>
      <c r="F101" t="s">
        <v>621</v>
      </c>
      <c r="G101" t="s">
        <v>621</v>
      </c>
      <c r="H101" t="s">
        <v>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CLASIFICACIÓN</vt:lpstr>
      <vt:lpstr>Puntuación_final</vt:lpstr>
      <vt:lpstr>Clasificación_de_grupos</vt:lpstr>
      <vt:lpstr>Pronósticos_de_partidos</vt:lpstr>
      <vt:lpstr>Pronósticos_extra</vt:lpstr>
      <vt:lpstr>De_16_hasta_el_pódium</vt:lpstr>
      <vt:lpstr>OFICIAL</vt:lpstr>
      <vt:lpstr>Aciertos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Mike .</cp:lastModifiedBy>
  <dcterms:created xsi:type="dcterms:W3CDTF">2026-06-13T22:15:19Z</dcterms:created>
  <dcterms:modified xsi:type="dcterms:W3CDTF">2026-06-24T11:17:06Z</dcterms:modified>
</cp:coreProperties>
</file>