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1787297c5aedf/Desktop/WEB/"/>
    </mc:Choice>
  </mc:AlternateContent>
  <xr:revisionPtr revIDLastSave="339" documentId="8_{87F8DEB9-012F-441D-AF7C-A423B05314B0}" xr6:coauthVersionLast="47" xr6:coauthVersionMax="47" xr10:uidLastSave="{75FE233B-E7A1-4F71-8E31-194D6508F7CF}"/>
  <bookViews>
    <workbookView xWindow="-120" yWindow="-120" windowWidth="29040" windowHeight="15720" xr2:uid="{BD01F792-A286-4978-BF87-086CC524CD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J22" i="1"/>
  <c r="M4" i="1"/>
</calcChain>
</file>

<file path=xl/sharedStrings.xml><?xml version="1.0" encoding="utf-8"?>
<sst xmlns="http://schemas.openxmlformats.org/spreadsheetml/2006/main" count="89" uniqueCount="59">
  <si>
    <t>GROUP A</t>
  </si>
  <si>
    <t>1 - 0</t>
  </si>
  <si>
    <t>Partidos</t>
  </si>
  <si>
    <t>Resultados</t>
  </si>
  <si>
    <t>FASE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</si>
  <si>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</si>
  <si>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</si>
  <si>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</si>
  <si>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</si>
  <si>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</si>
  <si>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</si>
  <si>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</si>
  <si>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</si>
  <si>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</si>
  <si>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</si>
  <si>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</si>
  <si>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Premios EXTRA</t>
  </si>
  <si>
    <t>Por acierto de resultado</t>
  </si>
  <si>
    <t>Por equipo clasificado</t>
  </si>
  <si>
    <t>TOTAL supuesto por mi</t>
  </si>
  <si>
    <t>Puntos Ranking WEB</t>
  </si>
  <si>
    <t>control mejor tercero</t>
  </si>
  <si>
    <t>FASE DE GRUPOS</t>
  </si>
  <si>
    <t>Balón de Oro</t>
  </si>
  <si>
    <t>Bota de Oro</t>
  </si>
  <si>
    <t>Guante de Oro</t>
  </si>
  <si>
    <t>MVP Joven</t>
  </si>
  <si>
    <t>FAIR PLAY</t>
  </si>
  <si>
    <t>AO TANAKA</t>
  </si>
  <si>
    <t>AYASE UEDA</t>
  </si>
  <si>
    <t>ZION SUZUKI</t>
  </si>
  <si>
    <t>JAPAN</t>
  </si>
  <si>
    <t>N/A</t>
  </si>
  <si>
    <t>AYUMU SEKO</t>
  </si>
  <si>
    <t>Apuestas</t>
  </si>
  <si>
    <t>ROUND 16</t>
  </si>
  <si>
    <t>QUARTER-FINAL</t>
  </si>
  <si>
    <t>SEMI-FINAL</t>
  </si>
  <si>
    <t>FINAL</t>
  </si>
  <si>
    <t>Podium</t>
  </si>
  <si>
    <t>Campeón</t>
  </si>
  <si>
    <t>Subcampeón</t>
  </si>
  <si>
    <t>Tercero</t>
  </si>
  <si>
    <t>Cuarto</t>
  </si>
  <si>
    <t>Eliminatorias</t>
  </si>
  <si>
    <t>la reseguidora amb via sergia,20</t>
  </si>
  <si>
    <t>ROUND 32</t>
  </si>
  <si>
    <t>GHANA</t>
  </si>
  <si>
    <t>CURAÇAO</t>
  </si>
  <si>
    <t>CABO VERDE</t>
  </si>
  <si>
    <t>SENEGAL</t>
  </si>
  <si>
    <t>Por acierto del Premio extra y podium</t>
  </si>
  <si>
    <t>3RD PLACE</t>
  </si>
  <si>
    <t>1 - 0 o 0 -1</t>
  </si>
  <si>
    <t>1 -0 o 0 -1</t>
  </si>
  <si>
    <t>Resultados en la fase de eliminatorias</t>
  </si>
  <si>
    <t>PRIMERA FASE DE LA PORRA</t>
  </si>
  <si>
    <t>SEGUNDA FASE DE LA PORRA</t>
  </si>
  <si>
    <t>TOTAL supuesto por mi y calculos, casilla en amarillo indicando que ya ha sido sumada por otra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</si>
</sst>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2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FBC2-D22E-4BFB-BE88-778432830DA9}">
  <dimension ref="B1:O37"/>
  <sheetViews>
    <sheetView tabSelected="1" workbookViewId="0">
      <selection activeCell="B3" sqref="B3"/>
    </sheetView>
  </sheetViews>
  <sheetFormatPr baseColWidth="10" defaultRowHeight="15" x14ac:dyDescent="0.25"/>
  <cols>
    <col min="4" max="4" width="12.7109375" customWidth="1"/>
    <col min="5" max="5" width="14.5703125" style="1" customWidth="1"/>
    <col min="6" max="6" width="8" style="1" customWidth="1"/>
    <col min="7" max="7" width="11.85546875" style="1" customWidth="1"/>
    <col min="8" max="8" width="18.7109375" style="1" customWidth="1"/>
    <col min="9" max="9" width="22" style="1" customWidth="1"/>
    <col min="10" max="10" width="20.42578125" style="1" customWidth="1"/>
    <col min="11" max="11" width="33.7109375" style="1" customWidth="1"/>
    <col min="12" max="12" width="20.85546875" style="1" customWidth="1"/>
    <col min="13" max="13" width="18.7109375" customWidth="1"/>
    <col min="14" max="14" width="53.140625" customWidth="1"/>
  </cols>
  <sheetData>
    <row r="1" spans="2:13" ht="15.75" thickBot="1" x14ac:dyDescent="0.3"/>
    <row r="2" spans="2:13" ht="15.75" thickBot="1" x14ac:dyDescent="0.3">
      <c r="I2" s="19" t="s">
        <v>58</v>
      </c>
      <c r="J2" s="20"/>
      <c r="K2" s="20"/>
      <c r="L2" s="20"/>
      <c r="M2" s="21"/>
    </row>
    <row r="3" spans="2:13" ht="15.75" thickBot="1" x14ac:dyDescent="0.3">
      <c r="E3" s="18" t="s">
        <v>4</v>
      </c>
      <c r="F3" s="18" t="s">
        <v>2</v>
      </c>
      <c r="G3" s="18" t="s">
        <v>3</v>
      </c>
      <c r="H3" s="18" t="s">
        <v>20</v>
      </c>
      <c r="I3" s="18" t="s">
        <v>17</v>
      </c>
      <c r="J3" s="18" t="s">
        <v>18</v>
      </c>
      <c r="K3" s="18" t="s">
        <v>51</v>
      </c>
      <c r="L3" s="18" t="s">
        <v>19</v>
      </c>
      <c r="M3" s="18" t="s">
        <v>21</v>
      </c>
    </row>
    <row r="4" spans="2:13" x14ac:dyDescent="0.25">
      <c r="B4" s="2" t="s">
        <v>56</v>
      </c>
      <c r="C4" s="3"/>
      <c r="D4" s="4" t="s">
        <v>22</v>
      </c>
      <c r="E4" s="5" t="s">
        <v>0</v>
      </c>
      <c r="F4" s="5">
        <v>6</v>
      </c>
      <c r="G4" s="5" t="s">
        <v>1</v>
      </c>
      <c r="H4" s="6">
        <v>33</v>
      </c>
      <c r="I4" s="22">
        <v>30</v>
      </c>
      <c r="J4" s="5">
        <v>3</v>
      </c>
      <c r="K4" s="5"/>
      <c r="L4" s="5">
        <f>SUM(I4:I15,J4:J15,J23:J26,K16:K30,I32:I50)</f>
        <v>750</v>
      </c>
      <c r="M4" s="23">
        <f>COUNTIF(J4:J15,3)</f>
        <v>8</v>
      </c>
    </row>
    <row r="5" spans="2:13" x14ac:dyDescent="0.25">
      <c r="B5" s="7"/>
      <c r="C5" s="8"/>
      <c r="D5" s="9"/>
      <c r="E5" s="10" t="s">
        <v>5</v>
      </c>
      <c r="F5" s="10">
        <v>6</v>
      </c>
      <c r="G5" s="10" t="s">
        <v>1</v>
      </c>
      <c r="H5" s="11">
        <v>65</v>
      </c>
      <c r="I5" s="24">
        <v>30</v>
      </c>
      <c r="J5" s="10">
        <v>2</v>
      </c>
      <c r="K5" s="10"/>
      <c r="L5" s="10"/>
      <c r="M5" s="25"/>
    </row>
    <row r="6" spans="2:13" x14ac:dyDescent="0.25">
      <c r="B6" s="7"/>
      <c r="C6" s="8"/>
      <c r="D6" s="9"/>
      <c r="E6" s="10" t="s">
        <v>6</v>
      </c>
      <c r="F6" s="10">
        <v>6</v>
      </c>
      <c r="G6" s="10" t="s">
        <v>1</v>
      </c>
      <c r="H6" s="11">
        <v>98</v>
      </c>
      <c r="I6" s="24">
        <v>30</v>
      </c>
      <c r="J6" s="10">
        <v>3</v>
      </c>
      <c r="K6" s="10"/>
      <c r="L6" s="10"/>
      <c r="M6" s="25"/>
    </row>
    <row r="7" spans="2:13" x14ac:dyDescent="0.25">
      <c r="B7" s="7"/>
      <c r="C7" s="8"/>
      <c r="D7" s="9"/>
      <c r="E7" s="10" t="s">
        <v>7</v>
      </c>
      <c r="F7" s="10">
        <v>6</v>
      </c>
      <c r="G7" s="10" t="s">
        <v>1</v>
      </c>
      <c r="H7" s="11">
        <v>131</v>
      </c>
      <c r="I7" s="24">
        <v>30</v>
      </c>
      <c r="J7" s="10">
        <v>3</v>
      </c>
      <c r="K7" s="10"/>
      <c r="L7" s="10"/>
      <c r="M7" s="25"/>
    </row>
    <row r="8" spans="2:13" x14ac:dyDescent="0.25">
      <c r="B8" s="7"/>
      <c r="C8" s="8"/>
      <c r="D8" s="9"/>
      <c r="E8" s="10" t="s">
        <v>8</v>
      </c>
      <c r="F8" s="10">
        <v>6</v>
      </c>
      <c r="G8" s="10" t="s">
        <v>1</v>
      </c>
      <c r="H8" s="11">
        <v>164</v>
      </c>
      <c r="I8" s="24">
        <v>30</v>
      </c>
      <c r="J8" s="10">
        <v>3</v>
      </c>
      <c r="K8" s="10"/>
      <c r="L8" s="10"/>
      <c r="M8" s="25"/>
    </row>
    <row r="9" spans="2:13" x14ac:dyDescent="0.25">
      <c r="B9" s="7"/>
      <c r="C9" s="8"/>
      <c r="D9" s="9"/>
      <c r="E9" s="10" t="s">
        <v>9</v>
      </c>
      <c r="F9" s="10">
        <v>6</v>
      </c>
      <c r="G9" s="10" t="s">
        <v>1</v>
      </c>
      <c r="H9" s="11">
        <v>196</v>
      </c>
      <c r="I9" s="24">
        <v>30</v>
      </c>
      <c r="J9" s="10">
        <v>2</v>
      </c>
      <c r="K9" s="10"/>
      <c r="L9" s="10"/>
      <c r="M9" s="25"/>
    </row>
    <row r="10" spans="2:13" x14ac:dyDescent="0.25">
      <c r="B10" s="7"/>
      <c r="C10" s="8"/>
      <c r="D10" s="9"/>
      <c r="E10" s="10" t="s">
        <v>10</v>
      </c>
      <c r="F10" s="10">
        <v>6</v>
      </c>
      <c r="G10" s="10" t="s">
        <v>1</v>
      </c>
      <c r="H10" s="11">
        <v>229</v>
      </c>
      <c r="I10" s="24">
        <v>30</v>
      </c>
      <c r="J10" s="10">
        <v>3</v>
      </c>
      <c r="K10" s="10"/>
      <c r="L10" s="10"/>
      <c r="M10" s="25"/>
    </row>
    <row r="11" spans="2:13" x14ac:dyDescent="0.25">
      <c r="B11" s="7"/>
      <c r="C11" s="8"/>
      <c r="D11" s="9"/>
      <c r="E11" s="10" t="s">
        <v>11</v>
      </c>
      <c r="F11" s="10">
        <v>6</v>
      </c>
      <c r="G11" s="10" t="s">
        <v>1</v>
      </c>
      <c r="H11" s="11">
        <v>261</v>
      </c>
      <c r="I11" s="24">
        <v>30</v>
      </c>
      <c r="J11" s="10">
        <v>2</v>
      </c>
      <c r="K11" s="10"/>
      <c r="L11" s="10"/>
      <c r="M11" s="25"/>
    </row>
    <row r="12" spans="2:13" x14ac:dyDescent="0.25">
      <c r="B12" s="7"/>
      <c r="C12" s="8"/>
      <c r="D12" s="9"/>
      <c r="E12" s="10" t="s">
        <v>12</v>
      </c>
      <c r="F12" s="10">
        <v>6</v>
      </c>
      <c r="G12" s="10" t="s">
        <v>1</v>
      </c>
      <c r="H12" s="11">
        <v>293</v>
      </c>
      <c r="I12" s="24">
        <v>30</v>
      </c>
      <c r="J12" s="10">
        <v>2</v>
      </c>
      <c r="K12" s="10"/>
      <c r="L12" s="10"/>
      <c r="M12" s="25"/>
    </row>
    <row r="13" spans="2:13" x14ac:dyDescent="0.25">
      <c r="B13" s="7"/>
      <c r="C13" s="8"/>
      <c r="D13" s="9"/>
      <c r="E13" s="10" t="s">
        <v>13</v>
      </c>
      <c r="F13" s="10">
        <v>6</v>
      </c>
      <c r="G13" s="10" t="s">
        <v>1</v>
      </c>
      <c r="H13" s="11">
        <v>326</v>
      </c>
      <c r="I13" s="24">
        <v>30</v>
      </c>
      <c r="J13" s="10">
        <v>3</v>
      </c>
      <c r="K13" s="10"/>
      <c r="L13" s="10"/>
      <c r="M13" s="25"/>
    </row>
    <row r="14" spans="2:13" x14ac:dyDescent="0.25">
      <c r="B14" s="7"/>
      <c r="C14" s="8"/>
      <c r="D14" s="9"/>
      <c r="E14" s="10" t="s">
        <v>14</v>
      </c>
      <c r="F14" s="10">
        <v>6</v>
      </c>
      <c r="G14" s="10" t="s">
        <v>1</v>
      </c>
      <c r="H14" s="11">
        <v>359</v>
      </c>
      <c r="I14" s="24">
        <v>30</v>
      </c>
      <c r="J14" s="10">
        <v>3</v>
      </c>
      <c r="K14" s="10"/>
      <c r="L14" s="10"/>
      <c r="M14" s="25"/>
    </row>
    <row r="15" spans="2:13" x14ac:dyDescent="0.25">
      <c r="B15" s="7"/>
      <c r="C15" s="8"/>
      <c r="D15" s="9"/>
      <c r="E15" s="10" t="s">
        <v>15</v>
      </c>
      <c r="F15" s="10">
        <v>6</v>
      </c>
      <c r="G15" s="10" t="s">
        <v>1</v>
      </c>
      <c r="H15" s="11">
        <v>392</v>
      </c>
      <c r="I15" s="24">
        <v>30</v>
      </c>
      <c r="J15" s="10">
        <v>3</v>
      </c>
      <c r="K15" s="10"/>
      <c r="L15" s="10"/>
      <c r="M15" s="25"/>
    </row>
    <row r="16" spans="2:13" ht="15" customHeight="1" x14ac:dyDescent="0.25">
      <c r="B16" s="7"/>
      <c r="C16" s="8"/>
      <c r="D16" s="9" t="s">
        <v>16</v>
      </c>
      <c r="E16" s="10" t="s">
        <v>23</v>
      </c>
      <c r="F16" s="10" t="s">
        <v>32</v>
      </c>
      <c r="G16" s="10" t="s">
        <v>28</v>
      </c>
      <c r="H16" s="11"/>
      <c r="I16" s="24"/>
      <c r="J16" s="10"/>
      <c r="K16" s="10">
        <v>10</v>
      </c>
      <c r="L16" s="10"/>
      <c r="M16" s="25"/>
    </row>
    <row r="17" spans="2:15" x14ac:dyDescent="0.25">
      <c r="B17" s="7"/>
      <c r="C17" s="8"/>
      <c r="D17" s="9"/>
      <c r="E17" s="10" t="s">
        <v>24</v>
      </c>
      <c r="F17" s="10" t="s">
        <v>32</v>
      </c>
      <c r="G17" s="10" t="s">
        <v>29</v>
      </c>
      <c r="H17" s="11"/>
      <c r="I17" s="24"/>
      <c r="J17" s="10"/>
      <c r="K17" s="10">
        <v>10</v>
      </c>
      <c r="L17" s="10"/>
      <c r="M17" s="25"/>
    </row>
    <row r="18" spans="2:15" x14ac:dyDescent="0.25">
      <c r="B18" s="7"/>
      <c r="C18" s="8"/>
      <c r="D18" s="9"/>
      <c r="E18" s="10" t="s">
        <v>25</v>
      </c>
      <c r="F18" s="10" t="s">
        <v>32</v>
      </c>
      <c r="G18" s="10" t="s">
        <v>30</v>
      </c>
      <c r="H18" s="11"/>
      <c r="I18" s="24"/>
      <c r="J18" s="10"/>
      <c r="K18" s="10">
        <v>10</v>
      </c>
      <c r="L18" s="10"/>
      <c r="M18" s="25"/>
    </row>
    <row r="19" spans="2:15" x14ac:dyDescent="0.25">
      <c r="B19" s="7"/>
      <c r="C19" s="8"/>
      <c r="D19" s="9"/>
      <c r="E19" s="10" t="s">
        <v>26</v>
      </c>
      <c r="F19" s="10" t="s">
        <v>32</v>
      </c>
      <c r="G19" s="10" t="s">
        <v>33</v>
      </c>
      <c r="H19" s="11"/>
      <c r="I19" s="24"/>
      <c r="J19" s="10"/>
      <c r="K19" s="10">
        <v>10</v>
      </c>
      <c r="L19" s="10"/>
      <c r="M19" s="25"/>
    </row>
    <row r="20" spans="2:15" x14ac:dyDescent="0.25">
      <c r="B20" s="7"/>
      <c r="C20" s="8"/>
      <c r="D20" s="9"/>
      <c r="E20" s="10" t="s">
        <v>27</v>
      </c>
      <c r="F20" s="10" t="s">
        <v>32</v>
      </c>
      <c r="G20" s="10" t="s">
        <v>31</v>
      </c>
      <c r="H20" s="11"/>
      <c r="I20" s="24"/>
      <c r="J20" s="10"/>
      <c r="K20" s="10">
        <v>10</v>
      </c>
      <c r="L20" s="10"/>
      <c r="M20" s="25"/>
    </row>
    <row r="21" spans="2:15" x14ac:dyDescent="0.25">
      <c r="B21" s="7"/>
      <c r="C21" s="8"/>
      <c r="D21" s="9"/>
      <c r="E21" s="10"/>
      <c r="F21" s="10"/>
      <c r="G21" s="10"/>
      <c r="H21" s="11">
        <v>442</v>
      </c>
      <c r="I21" s="24"/>
      <c r="J21" s="10"/>
      <c r="K21" s="10"/>
      <c r="L21" s="10"/>
      <c r="M21" s="25"/>
    </row>
    <row r="22" spans="2:15" ht="15" customHeight="1" x14ac:dyDescent="0.25">
      <c r="B22" s="7"/>
      <c r="C22" s="9" t="s">
        <v>34</v>
      </c>
      <c r="D22" s="17" t="s">
        <v>44</v>
      </c>
      <c r="E22" s="10" t="s">
        <v>46</v>
      </c>
      <c r="F22" s="10">
        <v>16</v>
      </c>
      <c r="G22" s="10"/>
      <c r="H22" s="11"/>
      <c r="I22" s="24"/>
      <c r="J22" s="26">
        <f>SUM(J4:J15)</f>
        <v>32</v>
      </c>
      <c r="K22" s="10"/>
      <c r="L22" s="10"/>
      <c r="M22" s="25"/>
    </row>
    <row r="23" spans="2:15" x14ac:dyDescent="0.25">
      <c r="B23" s="7"/>
      <c r="C23" s="9"/>
      <c r="D23" s="17"/>
      <c r="E23" s="10" t="s">
        <v>35</v>
      </c>
      <c r="F23" s="10">
        <v>8</v>
      </c>
      <c r="G23" s="10"/>
      <c r="H23" s="11"/>
      <c r="I23" s="24"/>
      <c r="J23" s="10">
        <v>32</v>
      </c>
      <c r="K23" s="10"/>
      <c r="L23" s="10"/>
      <c r="M23" s="25"/>
    </row>
    <row r="24" spans="2:15" x14ac:dyDescent="0.25">
      <c r="B24" s="7"/>
      <c r="C24" s="9"/>
      <c r="D24" s="17"/>
      <c r="E24" s="10" t="s">
        <v>36</v>
      </c>
      <c r="F24" s="10">
        <v>4</v>
      </c>
      <c r="G24" s="10"/>
      <c r="H24" s="11"/>
      <c r="I24" s="24"/>
      <c r="J24" s="10">
        <v>32</v>
      </c>
      <c r="K24" s="10"/>
      <c r="L24" s="10"/>
      <c r="M24" s="25"/>
    </row>
    <row r="25" spans="2:15" x14ac:dyDescent="0.25">
      <c r="B25" s="7"/>
      <c r="C25" s="9"/>
      <c r="D25" s="17"/>
      <c r="E25" s="10" t="s">
        <v>37</v>
      </c>
      <c r="F25" s="10">
        <v>2</v>
      </c>
      <c r="G25" s="10"/>
      <c r="H25" s="11"/>
      <c r="I25" s="24"/>
      <c r="J25" s="10">
        <v>32</v>
      </c>
      <c r="K25" s="10"/>
      <c r="L25" s="10"/>
      <c r="M25" s="25"/>
      <c r="O25" s="1"/>
    </row>
    <row r="26" spans="2:15" x14ac:dyDescent="0.25">
      <c r="B26" s="7"/>
      <c r="C26" s="9"/>
      <c r="D26" s="17"/>
      <c r="E26" s="10" t="s">
        <v>38</v>
      </c>
      <c r="F26" s="10">
        <v>1</v>
      </c>
      <c r="G26" s="10"/>
      <c r="H26" s="11"/>
      <c r="I26" s="24"/>
      <c r="J26" s="10">
        <v>20</v>
      </c>
      <c r="K26" s="10"/>
      <c r="L26" s="10"/>
      <c r="M26" s="25"/>
    </row>
    <row r="27" spans="2:15" x14ac:dyDescent="0.25">
      <c r="B27" s="7"/>
      <c r="C27" s="9"/>
      <c r="D27" s="17" t="s">
        <v>39</v>
      </c>
      <c r="E27" s="10" t="s">
        <v>40</v>
      </c>
      <c r="F27" s="10" t="s">
        <v>32</v>
      </c>
      <c r="G27" s="10" t="s">
        <v>47</v>
      </c>
      <c r="H27" s="11"/>
      <c r="I27" s="24"/>
      <c r="J27" s="10"/>
      <c r="K27" s="10">
        <v>20</v>
      </c>
      <c r="L27" s="10"/>
      <c r="M27" s="25"/>
    </row>
    <row r="28" spans="2:15" x14ac:dyDescent="0.25">
      <c r="B28" s="7"/>
      <c r="C28" s="9"/>
      <c r="D28" s="17"/>
      <c r="E28" s="10" t="s">
        <v>41</v>
      </c>
      <c r="F28" s="10" t="s">
        <v>32</v>
      </c>
      <c r="G28" s="10" t="s">
        <v>48</v>
      </c>
      <c r="H28" s="11"/>
      <c r="I28" s="24"/>
      <c r="J28" s="10"/>
      <c r="K28" s="10" t="s">
        <v>32</v>
      </c>
      <c r="L28" s="10"/>
      <c r="M28" s="25"/>
    </row>
    <row r="29" spans="2:15" x14ac:dyDescent="0.25">
      <c r="B29" s="7"/>
      <c r="C29" s="9"/>
      <c r="D29" s="17"/>
      <c r="E29" s="10" t="s">
        <v>42</v>
      </c>
      <c r="F29" s="10" t="s">
        <v>32</v>
      </c>
      <c r="G29" s="10" t="s">
        <v>49</v>
      </c>
      <c r="H29" s="11"/>
      <c r="I29" s="24"/>
      <c r="J29" s="10"/>
      <c r="K29" s="10">
        <v>12</v>
      </c>
      <c r="L29" s="10"/>
      <c r="M29" s="25"/>
    </row>
    <row r="30" spans="2:15" x14ac:dyDescent="0.25">
      <c r="B30" s="7"/>
      <c r="C30" s="9"/>
      <c r="D30" s="17"/>
      <c r="E30" s="10" t="s">
        <v>43</v>
      </c>
      <c r="F30" s="10" t="s">
        <v>32</v>
      </c>
      <c r="G30" s="10" t="s">
        <v>50</v>
      </c>
      <c r="H30" s="11"/>
      <c r="I30" s="24"/>
      <c r="J30" s="10"/>
      <c r="K30" s="10" t="s">
        <v>32</v>
      </c>
      <c r="L30" s="10"/>
      <c r="M30" s="25"/>
    </row>
    <row r="31" spans="2:15" ht="15.75" thickBot="1" x14ac:dyDescent="0.3">
      <c r="B31" s="12"/>
      <c r="C31" s="14"/>
      <c r="D31" s="13"/>
      <c r="E31" s="15"/>
      <c r="F31" s="15"/>
      <c r="G31" s="15"/>
      <c r="H31" s="16">
        <v>590</v>
      </c>
      <c r="I31" s="24"/>
      <c r="J31" s="10"/>
      <c r="K31" s="10"/>
      <c r="L31" s="10"/>
      <c r="M31" s="25"/>
    </row>
    <row r="32" spans="2:15" x14ac:dyDescent="0.25">
      <c r="B32" s="2" t="s">
        <v>57</v>
      </c>
      <c r="C32" s="3"/>
      <c r="D32" s="4" t="s">
        <v>55</v>
      </c>
      <c r="E32" s="5" t="s">
        <v>46</v>
      </c>
      <c r="F32" s="5">
        <v>16</v>
      </c>
      <c r="G32" s="5" t="s">
        <v>53</v>
      </c>
      <c r="H32" s="6">
        <v>670</v>
      </c>
      <c r="I32" s="24">
        <v>80</v>
      </c>
      <c r="J32" s="10"/>
      <c r="K32" s="10"/>
      <c r="L32" s="10"/>
      <c r="M32" s="25"/>
    </row>
    <row r="33" spans="2:14" x14ac:dyDescent="0.25">
      <c r="B33" s="7"/>
      <c r="C33" s="8"/>
      <c r="D33" s="9"/>
      <c r="E33" s="10" t="s">
        <v>35</v>
      </c>
      <c r="F33" s="10">
        <v>8</v>
      </c>
      <c r="G33" s="10" t="s">
        <v>53</v>
      </c>
      <c r="H33" s="11">
        <v>710</v>
      </c>
      <c r="I33" s="24">
        <v>40</v>
      </c>
      <c r="J33" s="10"/>
      <c r="K33" s="10"/>
      <c r="L33" s="10"/>
      <c r="M33" s="25"/>
    </row>
    <row r="34" spans="2:14" x14ac:dyDescent="0.25">
      <c r="B34" s="7"/>
      <c r="C34" s="8"/>
      <c r="D34" s="9"/>
      <c r="E34" s="10" t="s">
        <v>36</v>
      </c>
      <c r="F34" s="10">
        <v>4</v>
      </c>
      <c r="G34" s="10" t="s">
        <v>53</v>
      </c>
      <c r="H34" s="11">
        <v>730</v>
      </c>
      <c r="I34" s="24">
        <v>20</v>
      </c>
      <c r="J34" s="10"/>
      <c r="K34" s="10"/>
      <c r="L34" s="10"/>
      <c r="M34" s="25"/>
      <c r="N34" t="s">
        <v>45</v>
      </c>
    </row>
    <row r="35" spans="2:14" x14ac:dyDescent="0.25">
      <c r="B35" s="7"/>
      <c r="C35" s="8"/>
      <c r="D35" s="9"/>
      <c r="E35" s="10" t="s">
        <v>37</v>
      </c>
      <c r="F35" s="10">
        <v>2</v>
      </c>
      <c r="G35" s="10" t="s">
        <v>53</v>
      </c>
      <c r="H35" s="11">
        <v>740</v>
      </c>
      <c r="I35" s="24">
        <v>10</v>
      </c>
      <c r="J35" s="10"/>
      <c r="K35" s="10"/>
      <c r="L35" s="10"/>
      <c r="M35" s="25"/>
    </row>
    <row r="36" spans="2:14" x14ac:dyDescent="0.25">
      <c r="B36" s="7"/>
      <c r="C36" s="8"/>
      <c r="D36" s="9"/>
      <c r="E36" s="10" t="s">
        <v>52</v>
      </c>
      <c r="F36" s="10">
        <v>1</v>
      </c>
      <c r="G36" s="10" t="s">
        <v>54</v>
      </c>
      <c r="H36" s="11">
        <v>745</v>
      </c>
      <c r="I36" s="24">
        <v>5</v>
      </c>
      <c r="J36" s="10"/>
      <c r="K36" s="10"/>
      <c r="L36" s="10"/>
      <c r="M36" s="25"/>
    </row>
    <row r="37" spans="2:14" ht="15.75" thickBot="1" x14ac:dyDescent="0.3">
      <c r="B37" s="12"/>
      <c r="C37" s="13"/>
      <c r="D37" s="14"/>
      <c r="E37" s="15" t="s">
        <v>38</v>
      </c>
      <c r="F37" s="15">
        <v>1</v>
      </c>
      <c r="G37" s="15" t="s">
        <v>53</v>
      </c>
      <c r="H37" s="16">
        <v>750</v>
      </c>
      <c r="I37" s="27">
        <v>5</v>
      </c>
      <c r="J37" s="15"/>
      <c r="K37" s="15"/>
      <c r="L37" s="15"/>
      <c r="M37" s="28"/>
    </row>
  </sheetData>
  <mergeCells count="9">
    <mergeCell ref="C22:C31"/>
    <mergeCell ref="D32:D37"/>
    <mergeCell ref="B4:B31"/>
    <mergeCell ref="B32:B37"/>
    <mergeCell ref="I2:M2"/>
    <mergeCell ref="D4:D15"/>
    <mergeCell ref="D16:D21"/>
    <mergeCell ref="D27:D30"/>
    <mergeCell ref="D22:D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.</dc:creator>
  <cp:lastModifiedBy>Mike .</cp:lastModifiedBy>
  <dcterms:created xsi:type="dcterms:W3CDTF">2026-05-26T17:00:05Z</dcterms:created>
  <dcterms:modified xsi:type="dcterms:W3CDTF">2026-05-26T18:48:35Z</dcterms:modified>
</cp:coreProperties>
</file>